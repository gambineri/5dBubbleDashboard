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fao-my.sharepoint.com/personal/massimo_gambineri_fao_org/Documents/Documents/Desktop/3dCube/"/>
    </mc:Choice>
  </mc:AlternateContent>
  <xr:revisionPtr revIDLastSave="131" documentId="8_{ED773F2B-9EFE-4DD6-83A8-46532D5DDEC1}" xr6:coauthVersionLast="47" xr6:coauthVersionMax="47" xr10:uidLastSave="{2CAA5F45-FBE3-4B40-9721-918A9E0D97F8}"/>
  <bookViews>
    <workbookView xWindow="-120" yWindow="-120" windowWidth="29040" windowHeight="15720" xr2:uid="{75F4D4CD-06A1-4669-9074-62B188BC0251}"/>
  </bookViews>
  <sheets>
    <sheet name="data" sheetId="1" r:id="rId1"/>
    <sheet name="Sheet1" sheetId="4" r:id="rId2"/>
  </sheets>
  <definedNames>
    <definedName name="_xlnm._FilterDatabase" localSheetId="0" hidden="1">data!$A$1:$G$79</definedName>
    <definedName name="background_color_5dchart">#REF!</definedName>
    <definedName name="bubbles_full_table_5dchart">#REF!</definedName>
    <definedName name="bubbles_quantity_5dchart">#REF!</definedName>
    <definedName name="camera_fov_5dchart">#REF!</definedName>
    <definedName name="camera_lookat_x_5dchart">#REF!</definedName>
    <definedName name="camera_lookat_y_5dchart">#REF!</definedName>
    <definedName name="camera_lookat_z_5dchart">#REF!</definedName>
    <definedName name="camera_updirection_x_5dchart">#REF!</definedName>
    <definedName name="camera_updirection_y_5dchart">#REF!</definedName>
    <definedName name="camera_updirection_z_5dchart">#REF!</definedName>
    <definedName name="camera_x_5dchart">#REF!</definedName>
    <definedName name="camera_y_5dchart">#REF!</definedName>
    <definedName name="camera_z_5dchart">#REF!</definedName>
    <definedName name="legend_colors_5dchart">#REF!</definedName>
    <definedName name="legend_numbers_5dchart">#REF!</definedName>
    <definedName name="legend_text_color_5dchart">#REF!</definedName>
    <definedName name="legend_text_size_5dchart">#REF!</definedName>
    <definedName name="plane_cell_minor_major_5dchart">#REF!</definedName>
    <definedName name="plane_cell_size_5dchart">#REF!</definedName>
    <definedName name="plane_color_5dchart">#REF!</definedName>
    <definedName name="plane_length_5dchart">#REF!</definedName>
    <definedName name="plane_resulting_equation_5dchart">#REF!</definedName>
    <definedName name="plane_width_5dchart">#REF!</definedName>
    <definedName name="POWER_USER_EXCEL_CHART_E5462B5D_00F3_421D_B309_5BCA3EF907DE">#REF!</definedName>
    <definedName name="s_name_5dchart">#REF!</definedName>
    <definedName name="s_scale_5dchart">#REF!</definedName>
    <definedName name="s_type_5dchart">#REF!</definedName>
    <definedName name="scale_axis_5dchart">#REF!</definedName>
    <definedName name="show_legend_5dchart">#REF!</definedName>
    <definedName name="show_plane_5dchart">#REF!</definedName>
    <definedName name="x_axis_color_5dchart">#REF!</definedName>
    <definedName name="x_axis_crosspoint_5dchart">#REF!</definedName>
    <definedName name="x_axis_length_factor_5dchart">#REF!</definedName>
    <definedName name="x_axis_max_5dchart">#REF!</definedName>
    <definedName name="x_axis_min_5dchart">#REF!</definedName>
    <definedName name="x_axis_name_5dchart">#REF!</definedName>
    <definedName name="x_axis_text_color_5dchart">#REF!</definedName>
    <definedName name="x_axis_text_size_5dchart">#REF!</definedName>
    <definedName name="x_show_axis_name_5dchart">#REF!</definedName>
    <definedName name="x_show_crosspoint_5dchart">#REF!</definedName>
    <definedName name="x_show_max_5dchart">#REF!</definedName>
    <definedName name="x_show_min_5dchart">#REF!</definedName>
    <definedName name="x_show_unit_labels_5dchart">#REF!</definedName>
    <definedName name="x_show_unit_marks_5dchart">#REF!</definedName>
    <definedName name="x_unit_5dchart">#REF!</definedName>
    <definedName name="xy_pane_5dchart">#REF!</definedName>
    <definedName name="xz_pane_5dchart">#REF!</definedName>
    <definedName name="y_axis_color_5dchart">#REF!</definedName>
    <definedName name="y_axis_crosspoint_5dchart">#REF!</definedName>
    <definedName name="y_axis_length_factor_5dchart">#REF!</definedName>
    <definedName name="y_axis_max_5dchart">#REF!</definedName>
    <definedName name="y_axis_min_5dchart">#REF!</definedName>
    <definedName name="y_axis_name_5dchart">#REF!</definedName>
    <definedName name="y_axis_text_color_5dchart">#REF!</definedName>
    <definedName name="y_axis_text_size_5dchart">#REF!</definedName>
    <definedName name="y_show_axis_name_5dchart">#REF!</definedName>
    <definedName name="y_show_crosspoint_5dchart">#REF!</definedName>
    <definedName name="y_show_max_5dchart">#REF!</definedName>
    <definedName name="y_show_min_5dchart">#REF!</definedName>
    <definedName name="y_show_unit_labels_5dchart">#REF!</definedName>
    <definedName name="y_show_unit_marks_5dchart">#REF!</definedName>
    <definedName name="y_unit_5dchart">#REF!</definedName>
    <definedName name="yz_pane_5dchart">#REF!</definedName>
    <definedName name="z_axis_color_5dchart">#REF!</definedName>
    <definedName name="z_axis_crosspoint_5dchart">#REF!</definedName>
    <definedName name="z_axis_length_factor_5dchart">#REF!</definedName>
    <definedName name="z_axis_max_5dchart">#REF!</definedName>
    <definedName name="z_axis_min_5dchart">#REF!</definedName>
    <definedName name="z_axis_name_5dchart">#REF!</definedName>
    <definedName name="z_axis_text_color_5dchart">#REF!</definedName>
    <definedName name="z_axis_text_size_5dchart">#REF!</definedName>
    <definedName name="z_show_axis_name_5dchart">#REF!</definedName>
    <definedName name="z_show_crosspoint_5dchart">#REF!</definedName>
    <definedName name="z_show_max_5dchart">#REF!</definedName>
    <definedName name="z_show_min_5dchart">#REF!</definedName>
    <definedName name="z_show_unit_labels_5dchart">#REF!</definedName>
    <definedName name="z_show_unit_marks_5dchart">#REF!</definedName>
    <definedName name="z_unit_5dchar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2" i="1"/>
  <c r="C2" i="4"/>
  <c r="C3" i="4"/>
  <c r="C4" i="4"/>
  <c r="C5" i="4"/>
  <c r="C6" i="4"/>
  <c r="C7" i="4"/>
  <c r="C8" i="4"/>
  <c r="C9" i="4"/>
  <c r="C10" i="4"/>
  <c r="C12" i="4"/>
  <c r="C13" i="4"/>
  <c r="C14" i="4"/>
  <c r="C16" i="4"/>
  <c r="C17" i="4"/>
  <c r="C19" i="4"/>
  <c r="C22" i="4"/>
  <c r="C23" i="4"/>
  <c r="C24" i="4"/>
  <c r="C25" i="4"/>
  <c r="C26" i="4"/>
  <c r="C27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3" i="4"/>
  <c r="C45" i="4"/>
  <c r="C46" i="4"/>
  <c r="C47" i="4"/>
  <c r="C48" i="4"/>
  <c r="C49" i="4"/>
  <c r="C50" i="4"/>
  <c r="C51" i="4"/>
  <c r="C52" i="4"/>
  <c r="C53" i="4"/>
  <c r="C54" i="4"/>
  <c r="C56" i="4"/>
  <c r="C57" i="4"/>
  <c r="C58" i="4"/>
  <c r="C61" i="4"/>
  <c r="C62" i="4"/>
  <c r="C63" i="4"/>
  <c r="C64" i="4"/>
  <c r="C65" i="4"/>
  <c r="C67" i="4"/>
  <c r="C68" i="4"/>
  <c r="C69" i="4"/>
  <c r="C74" i="4"/>
  <c r="C76" i="4"/>
  <c r="C78" i="4"/>
  <c r="C80" i="4"/>
  <c r="C85" i="4"/>
  <c r="C87" i="4"/>
  <c r="C88" i="4"/>
</calcChain>
</file>

<file path=xl/sharedStrings.xml><?xml version="1.0" encoding="utf-8"?>
<sst xmlns="http://schemas.openxmlformats.org/spreadsheetml/2006/main" count="745" uniqueCount="130">
  <si>
    <t>Category</t>
  </si>
  <si>
    <t>Strategic</t>
  </si>
  <si>
    <t>Risk</t>
  </si>
  <si>
    <t>Sustainability</t>
  </si>
  <si>
    <t>Value</t>
  </si>
  <si>
    <t>GS</t>
  </si>
  <si>
    <t>Printing</t>
  </si>
  <si>
    <t>Birds and fowl</t>
  </si>
  <si>
    <t>Livestock</t>
  </si>
  <si>
    <t>Non motorized cycles</t>
  </si>
  <si>
    <t>Organic fertilizers and plant nutrients</t>
  </si>
  <si>
    <t>Camping and outdoor equipment and accessories</t>
  </si>
  <si>
    <t>Industrial pumps and compressors</t>
  </si>
  <si>
    <t>Irrigation systems and equipment</t>
  </si>
  <si>
    <t>Hand tools</t>
  </si>
  <si>
    <t>Poultry and livestock equipment</t>
  </si>
  <si>
    <t>Dispersing and spraying appliances for agriculture</t>
  </si>
  <si>
    <t>Animal feed</t>
  </si>
  <si>
    <t>Lease and rental of property or building</t>
  </si>
  <si>
    <t>Passenger vehicle rental</t>
  </si>
  <si>
    <t>Vehicle maintenance and repair services</t>
  </si>
  <si>
    <t>Building and facility maintenance and repair services</t>
  </si>
  <si>
    <t>Transportation components and systems</t>
  </si>
  <si>
    <t>Motor vehicles</t>
  </si>
  <si>
    <t>Computer services</t>
  </si>
  <si>
    <t>Computer Equipment and Accessories</t>
  </si>
  <si>
    <t>Software</t>
  </si>
  <si>
    <t>Personal safety and protection</t>
  </si>
  <si>
    <t>Pest control devices</t>
  </si>
  <si>
    <t>Vocational training</t>
  </si>
  <si>
    <t>Office furniture</t>
  </si>
  <si>
    <t>Interior finishing materials</t>
  </si>
  <si>
    <t>Agricultural building construction services</t>
  </si>
  <si>
    <t>Human resources services</t>
  </si>
  <si>
    <t>Telecommunications media services</t>
  </si>
  <si>
    <t>Mail and cargo transport</t>
  </si>
  <si>
    <t>Chemical fertilizers and plant nutrients</t>
  </si>
  <si>
    <t>Fisheries and aquaculture</t>
  </si>
  <si>
    <t>Rural development</t>
  </si>
  <si>
    <t>Statistics</t>
  </si>
  <si>
    <t>Office Equipment and Accessories and Supplies</t>
  </si>
  <si>
    <t>Travel and Food and Lodging and Entertainment Services</t>
  </si>
  <si>
    <t>Laboratory furniture</t>
  </si>
  <si>
    <t>Agricultural processing machinery and equipment</t>
  </si>
  <si>
    <t>Industrial food and beverage equipment</t>
  </si>
  <si>
    <t>Events management</t>
  </si>
  <si>
    <t>Commercial and office building construction services</t>
  </si>
  <si>
    <t>Insurance services for structures and property and possessions</t>
  </si>
  <si>
    <t>Spice crop seeds and seedlings</t>
  </si>
  <si>
    <t>Transport services</t>
  </si>
  <si>
    <t>Quality control</t>
  </si>
  <si>
    <t>Fibrous crop seeds and seedlings</t>
  </si>
  <si>
    <t>Agricultural machinery for harvesting</t>
  </si>
  <si>
    <t>Agricultural machinery for soil preparation</t>
  </si>
  <si>
    <t>Refuse disposal and treatment</t>
  </si>
  <si>
    <t>Laboratory and scientific equipment</t>
  </si>
  <si>
    <t>Laboratory supplies and fixtures</t>
  </si>
  <si>
    <t>Measuring and observing and testing instruments</t>
  </si>
  <si>
    <t>Crop protection</t>
  </si>
  <si>
    <t>Writing and translations</t>
  </si>
  <si>
    <t>Tuber seeds and seedlings</t>
  </si>
  <si>
    <t>Floriculture and silviculture products</t>
  </si>
  <si>
    <t>Tree and shrub seeds and cuttings</t>
  </si>
  <si>
    <t>Vegetable seeds and seedlings</t>
  </si>
  <si>
    <t>Grass and forage seeds and seedlings</t>
  </si>
  <si>
    <t>Cereal seeds</t>
  </si>
  <si>
    <t>Legume seeds and seedlings</t>
  </si>
  <si>
    <t>Greenhouse equipment</t>
  </si>
  <si>
    <t>Utilities</t>
  </si>
  <si>
    <t>Services</t>
  </si>
  <si>
    <t>Goods</t>
  </si>
  <si>
    <t>Segment clasification</t>
  </si>
  <si>
    <t>UNSPC category</t>
  </si>
  <si>
    <t>UNSPC code</t>
  </si>
  <si>
    <t>Detail level</t>
  </si>
  <si>
    <t>CLUSTER</t>
  </si>
  <si>
    <t>NAME CLUSTER</t>
  </si>
  <si>
    <t>Strategic Importance</t>
  </si>
  <si>
    <t>Supply Risk</t>
  </si>
  <si>
    <t>Potential for Sustainable Procurement</t>
  </si>
  <si>
    <t>Value (USD)</t>
  </si>
  <si>
    <t>Family</t>
  </si>
  <si>
    <t>Raw Materials</t>
  </si>
  <si>
    <t>Class</t>
  </si>
  <si>
    <t>Segment</t>
  </si>
  <si>
    <t>Industrial Equipment</t>
  </si>
  <si>
    <t>Manufactured Products</t>
  </si>
  <si>
    <t>Immunomodulating drugs</t>
  </si>
  <si>
    <t>Irrigation system construction and rehabilitation service</t>
  </si>
  <si>
    <t>Commodity</t>
  </si>
  <si>
    <t>Fishing and aquaculture equipment</t>
  </si>
  <si>
    <t>Pesticides or pest repellents</t>
  </si>
  <si>
    <t>Veterinary equipment and supplies</t>
  </si>
  <si>
    <t>Education and Training Services</t>
  </si>
  <si>
    <t>Equipment Components &amp; Supplies</t>
  </si>
  <si>
    <t>Satellite communication systems services</t>
  </si>
  <si>
    <t>Water well drilling services</t>
  </si>
  <si>
    <t>Livestock services</t>
  </si>
  <si>
    <t>Animal containment and habitats</t>
  </si>
  <si>
    <t>Data Voice or Multimedia Network Equipment or Platforms and Accessories</t>
  </si>
  <si>
    <t>Veterinary nutritional supplements</t>
  </si>
  <si>
    <t>Communications Devices and Accessories</t>
  </si>
  <si>
    <t>Industrial refrigeration</t>
  </si>
  <si>
    <t>Electrical equipment and components and supplies</t>
  </si>
  <si>
    <t>Forestry machinery and equipment</t>
  </si>
  <si>
    <t>Forestry management</t>
  </si>
  <si>
    <t>Cartography</t>
  </si>
  <si>
    <t>Security surveillance and detection</t>
  </si>
  <si>
    <t>Live fish</t>
  </si>
  <si>
    <t>Chemicals including Bio Chemicals and Gas Materials</t>
  </si>
  <si>
    <t>Non edible animal products</t>
  </si>
  <si>
    <t>Insects</t>
  </si>
  <si>
    <t>Non edible plant and forestry products</t>
  </si>
  <si>
    <t>Cluster 1</t>
  </si>
  <si>
    <t>Leverage</t>
  </si>
  <si>
    <t>Cluster 5</t>
  </si>
  <si>
    <t>Cluster 2</t>
  </si>
  <si>
    <t>Essential</t>
  </si>
  <si>
    <t>Cluster 8</t>
  </si>
  <si>
    <t>Bottleneck</t>
  </si>
  <si>
    <t>Cluster 7</t>
  </si>
  <si>
    <t>Routine</t>
  </si>
  <si>
    <t>Cluster 4</t>
  </si>
  <si>
    <t>Non-critical</t>
  </si>
  <si>
    <t>Cluster 3</t>
  </si>
  <si>
    <t>Competitive</t>
  </si>
  <si>
    <t>PENDING EVALUATION</t>
  </si>
  <si>
    <t>Cluster 6</t>
  </si>
  <si>
    <t>Critical</t>
  </si>
  <si>
    <t>Cluster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</si>
</sst>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9" formatCode="_(* #,##0.0000000_);_(* \(#,##0.0000000\);_(* &quot;-&quot;??_);_(@_)"/>
  </numFmts>
  <fonts count="5" x14ac:knownFonts="1">
    <font>
      <sz val="11"/>
      <color theme="1"/>
      <name val="Avenir Next LT Pro"/>
      <family val="2"/>
      <scheme val="minor"/>
    </font>
    <font>
      <sz val="11"/>
      <color theme="1"/>
      <name val="Calibri"/>
      <family val="2"/>
    </font>
    <font>
      <sz val="11"/>
      <color theme="1"/>
      <name val="Avenir Next LT Pro"/>
      <family val="2"/>
      <scheme val="minor"/>
    </font>
    <font>
      <sz val="9"/>
      <color theme="1"/>
      <name val="Calibri"/>
      <family val="2"/>
    </font>
    <font>
      <b/>
      <sz val="9"/>
      <color theme="1" tint="0.3499862666707357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1" fillId="3" borderId="0" xfId="0" applyFont="1" applyFill="1"/>
    <xf numFmtId="0" fontId="1" fillId="4" borderId="0" xfId="0" applyFont="1" applyFill="1"/>
    <xf numFmtId="0" fontId="3" fillId="0" borderId="0" xfId="0" applyFont="1"/>
    <xf numFmtId="0" fontId="3" fillId="0" borderId="0" xfId="0" applyFont="1" applyAlignment="1">
      <alignment horizontal="center"/>
    </xf>
    <xf numFmtId="169" fontId="3" fillId="0" borderId="0" xfId="1" applyNumberFormat="1" applyFont="1"/>
    <xf numFmtId="0" fontId="4" fillId="2" borderId="1" xfId="0" applyFont="1" applyFill="1" applyBorder="1" applyAlignment="1">
      <alignment horizontal="center" vertical="center"/>
    </xf>
    <xf numFmtId="169" fontId="4" fillId="2" borderId="1" xfId="1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3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241B4E-02B7-4346-8A55-6E3AD612B34E}" name="Table2" displayName="Table2" ref="A1:K88" totalsRowShown="0" headerRowDxfId="12" dataDxfId="11">
  <autoFilter ref="A1:K88" xr:uid="{AD241B4E-02B7-4346-8A55-6E3AD612B34E}"/>
  <tableColumns count="11">
    <tableColumn id="1" xr3:uid="{C7364F57-40FE-4632-A7E9-17A5B633A1B1}" name="Segment clasification" dataDxfId="10"/>
    <tableColumn id="2" xr3:uid="{4B8D236A-7CB4-459C-9C8B-2AF1EE92E5E6}" name="UNSPC category" dataDxfId="9"/>
    <tableColumn id="12" xr3:uid="{D22EE805-1B54-4DCF-B027-CD97B12BD754}" name="GS" dataDxfId="8">
      <calculatedColumnFormula>VLOOKUP(Table2[[#This Row],[UNSPC category]],data!A:F,6,FALSE)</calculatedColumnFormula>
    </tableColumn>
    <tableColumn id="3" xr3:uid="{9A79DB94-E56A-41FC-8C9A-2FBD9EF65A68}" name="UNSPC code" dataDxfId="7"/>
    <tableColumn id="4" xr3:uid="{0BE7E335-3A6E-4055-95FC-6AA72F21C574}" name="Detail level" dataDxfId="6"/>
    <tableColumn id="5" xr3:uid="{260CB9D5-8317-482B-BCF5-1A1EB5CD779D}" name="CLUSTER" dataDxfId="5"/>
    <tableColumn id="6" xr3:uid="{4C195A49-182E-4158-81BA-CE352A9D2007}" name="NAME CLUSTER" dataDxfId="4"/>
    <tableColumn id="7" xr3:uid="{29C9C869-BF32-4036-A776-CFD69E351934}" name="Strategic Importance" dataDxfId="3"/>
    <tableColumn id="8" xr3:uid="{256E24AE-AC53-4764-B3CE-3B9206381B4D}" name="Supply Risk" dataDxfId="2"/>
    <tableColumn id="9" xr3:uid="{4CF0CCD4-05B3-4D34-9D3A-849890181359}" name="Potential for Sustainable Procurement" dataDxfId="1"/>
    <tableColumn id="10" xr3:uid="{16E3A279-B561-40D2-BB4C-622BF4B40FD6}" name="Value (USD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UN">
  <a:themeElements>
    <a:clrScheme name="EC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004494"/>
      </a:accent1>
      <a:accent2>
        <a:srgbClr val="5F70AF"/>
      </a:accent2>
      <a:accent3>
        <a:srgbClr val="006FB4"/>
      </a:accent3>
      <a:accent4>
        <a:srgbClr val="5090C8"/>
      </a:accent4>
      <a:accent5>
        <a:srgbClr val="FFED00"/>
      </a:accent5>
      <a:accent6>
        <a:srgbClr val="646567"/>
      </a:accent6>
      <a:hlink>
        <a:srgbClr val="0000FF"/>
      </a:hlink>
      <a:folHlink>
        <a:srgbClr val="800080"/>
      </a:folHlink>
    </a:clrScheme>
    <a:fontScheme name="Custom 1">
      <a:majorFont>
        <a:latin typeface="Avenir Next LT Pro"/>
        <a:ea typeface=""/>
        <a:cs typeface=""/>
      </a:majorFont>
      <a:minorFont>
        <a:latin typeface="Avenir Next LT Pr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012-DF62-4CAE-9E7A-6342AE070722}">
  <dimension ref="A1:G79"/>
  <sheetViews>
    <sheetView tabSelected="1" workbookViewId="0">
      <selection activeCell="A6" sqref="A6"/>
    </sheetView>
  </sheetViews>
  <sheetFormatPr defaultRowHeight="12" x14ac:dyDescent="0.2"/>
  <cols>
    <col min="1" max="1" width="47.88671875" style="4" customWidth="1"/>
    <col min="2" max="5" width="16.33203125" style="6" customWidth="1"/>
    <col min="6" max="7" width="11.33203125" style="5" customWidth="1"/>
    <col min="8" max="16384" width="8.88671875" style="4"/>
  </cols>
  <sheetData>
    <row r="1" spans="1:7" x14ac:dyDescent="0.2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7" t="s">
        <v>5</v>
      </c>
      <c r="G1" s="7" t="s">
        <v>129</v>
      </c>
    </row>
    <row r="2" spans="1:7" x14ac:dyDescent="0.2">
      <c r="A2" s="4" t="s">
        <v>24</v>
      </c>
      <c r="B2" s="6">
        <v>3.25</v>
      </c>
      <c r="C2" s="6">
        <v>1.99999999992666</v>
      </c>
      <c r="D2" s="6">
        <v>2.1843190780303767</v>
      </c>
      <c r="E2" s="6">
        <v>19703967.596860986</v>
      </c>
      <c r="F2" s="5" t="s">
        <v>69</v>
      </c>
      <c r="G2" s="5" t="str">
        <f>VLOOKUP(A2,Sheet1!B:G,6,FALSE)</f>
        <v>Leverage</v>
      </c>
    </row>
    <row r="3" spans="1:7" x14ac:dyDescent="0.2">
      <c r="A3" s="4" t="s">
        <v>65</v>
      </c>
      <c r="B3" s="6">
        <v>3.625</v>
      </c>
      <c r="C3" s="6">
        <v>3.6666666665533194</v>
      </c>
      <c r="D3" s="6">
        <v>1.6891876031204889</v>
      </c>
      <c r="E3" s="6">
        <v>18623574.606114328</v>
      </c>
      <c r="F3" s="5" t="s">
        <v>70</v>
      </c>
      <c r="G3" s="5" t="str">
        <f>VLOOKUP(A3,Sheet1!B:G,6,FALSE)</f>
        <v>Strategic</v>
      </c>
    </row>
    <row r="4" spans="1:7" x14ac:dyDescent="0.2">
      <c r="A4" s="4" t="s">
        <v>17</v>
      </c>
      <c r="B4" s="6">
        <v>3.5</v>
      </c>
      <c r="C4" s="6">
        <v>2.3333333332599899</v>
      </c>
      <c r="D4" s="6">
        <v>2.4995751211365325</v>
      </c>
      <c r="E4" s="6">
        <v>17520852.248989221</v>
      </c>
      <c r="F4" s="5" t="s">
        <v>70</v>
      </c>
      <c r="G4" s="5" t="str">
        <f>VLOOKUP(A4,Sheet1!B:G,6,FALSE)</f>
        <v>Essential</v>
      </c>
    </row>
    <row r="5" spans="1:7" x14ac:dyDescent="0.2">
      <c r="A5" s="4" t="s">
        <v>41</v>
      </c>
      <c r="B5" s="6">
        <v>1.75</v>
      </c>
      <c r="C5" s="6">
        <v>2.6666666665899896</v>
      </c>
      <c r="D5" s="6">
        <v>1.405245634729948</v>
      </c>
      <c r="E5" s="6">
        <v>16133845.090849256</v>
      </c>
      <c r="F5" s="5" t="s">
        <v>69</v>
      </c>
      <c r="G5" s="5" t="str">
        <f>VLOOKUP(A5,Sheet1!B:G,6,FALSE)</f>
        <v>Bottleneck</v>
      </c>
    </row>
    <row r="6" spans="1:7" x14ac:dyDescent="0.2">
      <c r="A6" s="4" t="s">
        <v>63</v>
      </c>
      <c r="B6" s="6">
        <v>3.5</v>
      </c>
      <c r="C6" s="6">
        <v>3.5555555554433198</v>
      </c>
      <c r="D6" s="6">
        <v>1.9325064124711611</v>
      </c>
      <c r="E6" s="6">
        <v>16116850.088985711</v>
      </c>
      <c r="F6" s="5" t="s">
        <v>70</v>
      </c>
      <c r="G6" s="5" t="str">
        <f>VLOOKUP(A6,Sheet1!B:G,6,FALSE)</f>
        <v>Strategic</v>
      </c>
    </row>
    <row r="7" spans="1:7" x14ac:dyDescent="0.2">
      <c r="A7" s="4" t="s">
        <v>35</v>
      </c>
      <c r="B7" s="6">
        <v>2</v>
      </c>
      <c r="C7" s="6">
        <v>2.3333333332933197</v>
      </c>
      <c r="D7" s="6">
        <v>1.4069945232706893</v>
      </c>
      <c r="E7" s="6">
        <v>14212776.760933617</v>
      </c>
      <c r="F7" s="5" t="s">
        <v>69</v>
      </c>
      <c r="G7" s="5" t="str">
        <f>VLOOKUP(A7,Sheet1!B:G,6,FALSE)</f>
        <v>Bottleneck</v>
      </c>
    </row>
    <row r="8" spans="1:7" x14ac:dyDescent="0.2">
      <c r="A8" s="4" t="s">
        <v>23</v>
      </c>
      <c r="B8" s="6">
        <v>2</v>
      </c>
      <c r="C8" s="6">
        <v>1.99999999992666</v>
      </c>
      <c r="D8" s="6">
        <v>1.771592331282787</v>
      </c>
      <c r="E8" s="6">
        <v>13014007.315411536</v>
      </c>
      <c r="F8" s="5" t="s">
        <v>70</v>
      </c>
      <c r="G8" s="5" t="str">
        <f>VLOOKUP(A8,Sheet1!B:G,6,FALSE)</f>
        <v>Routine</v>
      </c>
    </row>
    <row r="9" spans="1:7" x14ac:dyDescent="0.2">
      <c r="A9" s="4" t="s">
        <v>58</v>
      </c>
      <c r="B9" s="6">
        <v>3.5</v>
      </c>
      <c r="C9" s="6">
        <v>3.3333333332233197</v>
      </c>
      <c r="D9" s="6">
        <v>0.73096153700220645</v>
      </c>
      <c r="E9" s="6">
        <v>12728663.593409706</v>
      </c>
      <c r="F9" s="5" t="s">
        <v>69</v>
      </c>
      <c r="G9" s="5" t="str">
        <f>VLOOKUP(A9,Sheet1!B:G,6,FALSE)</f>
        <v>Strategic</v>
      </c>
    </row>
    <row r="10" spans="1:7" x14ac:dyDescent="0.2">
      <c r="A10" s="4" t="s">
        <v>21</v>
      </c>
      <c r="B10" s="6">
        <v>1.5</v>
      </c>
      <c r="C10" s="6">
        <v>1.99999999992666</v>
      </c>
      <c r="D10" s="6">
        <v>2.7432466584728257</v>
      </c>
      <c r="E10" s="6">
        <v>11904955.153627452</v>
      </c>
      <c r="F10" s="5" t="s">
        <v>69</v>
      </c>
      <c r="G10" s="5" t="str">
        <f>VLOOKUP(A10,Sheet1!B:G,6,FALSE)</f>
        <v>Non-critical</v>
      </c>
    </row>
    <row r="11" spans="1:7" x14ac:dyDescent="0.2">
      <c r="A11" s="4" t="s">
        <v>87</v>
      </c>
      <c r="B11" s="6">
        <v>3.25</v>
      </c>
      <c r="C11" s="6">
        <v>2.6666666666233199</v>
      </c>
      <c r="D11" s="6">
        <v>2.4021571404957962</v>
      </c>
      <c r="E11" s="6">
        <v>11010460.731397297</v>
      </c>
      <c r="F11" s="5" t="s">
        <v>70</v>
      </c>
      <c r="G11" s="5" t="str">
        <f>VLOOKUP(A11,Sheet1!B:G,6,FALSE)</f>
        <v>Essential</v>
      </c>
    </row>
    <row r="12" spans="1:7" x14ac:dyDescent="0.2">
      <c r="A12" s="4" t="s">
        <v>14</v>
      </c>
      <c r="B12" s="6">
        <v>3.5</v>
      </c>
      <c r="C12" s="6">
        <v>1.3333333332966599</v>
      </c>
      <c r="D12" s="6">
        <v>1.725718201566899</v>
      </c>
      <c r="E12" s="6">
        <v>10944339.353946239</v>
      </c>
      <c r="F12" s="5" t="s">
        <v>70</v>
      </c>
      <c r="G12" s="5" t="str">
        <f>VLOOKUP(A12,Sheet1!B:G,6,FALSE)</f>
        <v>Competitive</v>
      </c>
    </row>
    <row r="13" spans="1:7" x14ac:dyDescent="0.2">
      <c r="A13" s="4" t="s">
        <v>25</v>
      </c>
      <c r="B13" s="6">
        <v>3.5</v>
      </c>
      <c r="C13" s="6">
        <v>1.99999999992666</v>
      </c>
      <c r="D13" s="6">
        <v>2.2419466262253405</v>
      </c>
      <c r="E13" s="6">
        <v>8695504.6652954761</v>
      </c>
      <c r="F13" s="5" t="s">
        <v>70</v>
      </c>
      <c r="G13" s="5" t="str">
        <f>VLOOKUP(A13,Sheet1!B:G,6,FALSE)</f>
        <v>Leverage</v>
      </c>
    </row>
    <row r="14" spans="1:7" x14ac:dyDescent="0.2">
      <c r="A14" s="4" t="s">
        <v>18</v>
      </c>
      <c r="B14" s="6">
        <v>0.25</v>
      </c>
      <c r="C14" s="6">
        <v>1.6666666665966599</v>
      </c>
      <c r="D14" s="6">
        <v>1.4269785273758702</v>
      </c>
      <c r="E14" s="6">
        <v>8219573.0210963441</v>
      </c>
      <c r="F14" s="5" t="s">
        <v>69</v>
      </c>
      <c r="G14" s="5" t="str">
        <f>VLOOKUP(A14,Sheet1!B:G,6,FALSE)</f>
        <v>Routine</v>
      </c>
    </row>
    <row r="15" spans="1:7" x14ac:dyDescent="0.2">
      <c r="A15" s="4" t="s">
        <v>36</v>
      </c>
      <c r="B15" s="6">
        <v>3.125</v>
      </c>
      <c r="C15" s="6">
        <v>2.3333333333083197</v>
      </c>
      <c r="D15" s="6">
        <v>1.5268146291586988</v>
      </c>
      <c r="E15" s="6">
        <v>7826626.5549953235</v>
      </c>
      <c r="F15" s="5" t="s">
        <v>70</v>
      </c>
      <c r="G15" s="5" t="str">
        <f>VLOOKUP(A15,Sheet1!B:G,6,FALSE)</f>
        <v>Strategic</v>
      </c>
    </row>
    <row r="16" spans="1:7" x14ac:dyDescent="0.2">
      <c r="A16" s="4" t="s">
        <v>29</v>
      </c>
      <c r="B16" s="6">
        <v>3.25</v>
      </c>
      <c r="C16" s="6">
        <v>2.3333333332266597</v>
      </c>
      <c r="D16" s="6">
        <v>1.8464022577177377</v>
      </c>
      <c r="E16" s="6">
        <v>6311472.8480173638</v>
      </c>
      <c r="F16" s="5" t="s">
        <v>69</v>
      </c>
      <c r="G16" s="5" t="str">
        <f>VLOOKUP(A16,Sheet1!B:G,6,FALSE)</f>
        <v>Strategic</v>
      </c>
    </row>
    <row r="17" spans="1:7" x14ac:dyDescent="0.2">
      <c r="A17" s="4" t="s">
        <v>90</v>
      </c>
      <c r="B17" s="6">
        <v>4</v>
      </c>
      <c r="C17" s="6">
        <v>2.9999999998899902</v>
      </c>
      <c r="D17" s="6">
        <v>2.0372789019881758</v>
      </c>
      <c r="E17" s="6">
        <v>5276061.9579588119</v>
      </c>
      <c r="F17" s="5" t="s">
        <v>70</v>
      </c>
      <c r="G17" s="5" t="str">
        <f>VLOOKUP(A17,Sheet1!B:G,6,FALSE)</f>
        <v>Essential</v>
      </c>
    </row>
    <row r="18" spans="1:7" x14ac:dyDescent="0.2">
      <c r="A18" s="4" t="s">
        <v>32</v>
      </c>
      <c r="B18" s="6">
        <v>2.25</v>
      </c>
      <c r="C18" s="6">
        <v>2.3333333332599899</v>
      </c>
      <c r="D18" s="6">
        <v>2.0603582485906262</v>
      </c>
      <c r="E18" s="6">
        <v>5114924.9050515871</v>
      </c>
      <c r="F18" s="5" t="s">
        <v>69</v>
      </c>
      <c r="G18" s="5" t="str">
        <f>VLOOKUP(A18,Sheet1!B:G,6,FALSE)</f>
        <v>Essential</v>
      </c>
    </row>
    <row r="19" spans="1:7" x14ac:dyDescent="0.2">
      <c r="A19" s="4" t="s">
        <v>91</v>
      </c>
      <c r="B19" s="6">
        <v>3.25</v>
      </c>
      <c r="C19" s="6">
        <v>2.6666666665599896</v>
      </c>
      <c r="D19" s="6">
        <v>1.7268845200562417</v>
      </c>
      <c r="E19" s="6">
        <v>4846180.7909641024</v>
      </c>
      <c r="F19" s="5" t="s">
        <v>70</v>
      </c>
      <c r="G19" s="5" t="str">
        <f>VLOOKUP(A19,Sheet1!B:G,6,FALSE)</f>
        <v>Strategic</v>
      </c>
    </row>
    <row r="20" spans="1:7" x14ac:dyDescent="0.2">
      <c r="A20" s="4" t="s">
        <v>92</v>
      </c>
      <c r="B20" s="6">
        <v>3.75</v>
      </c>
      <c r="C20" s="6">
        <v>2.3333333332933197</v>
      </c>
      <c r="D20" s="6">
        <v>2.1787052608619049</v>
      </c>
      <c r="E20" s="6">
        <v>4577672.434685681</v>
      </c>
      <c r="F20" s="5" t="s">
        <v>70</v>
      </c>
      <c r="G20" s="5" t="str">
        <f>VLOOKUP(A20,Sheet1!B:G,6,FALSE)</f>
        <v>Essential</v>
      </c>
    </row>
    <row r="21" spans="1:7" x14ac:dyDescent="0.2">
      <c r="A21" s="4" t="s">
        <v>8</v>
      </c>
      <c r="B21" s="6">
        <v>3.75</v>
      </c>
      <c r="C21" s="6">
        <v>1.6666666666299901</v>
      </c>
      <c r="D21" s="6">
        <v>2.4627718592001231</v>
      </c>
      <c r="E21" s="6">
        <v>4437062.872373173</v>
      </c>
      <c r="F21" s="5" t="s">
        <v>70</v>
      </c>
      <c r="G21" s="5" t="str">
        <f>VLOOKUP(A21,Sheet1!B:G,6,FALSE)</f>
        <v>Leverage</v>
      </c>
    </row>
    <row r="22" spans="1:7" x14ac:dyDescent="0.2">
      <c r="A22" s="4" t="s">
        <v>10</v>
      </c>
      <c r="B22" s="6">
        <v>2.625</v>
      </c>
      <c r="C22" s="6">
        <v>1.3333333332783299</v>
      </c>
      <c r="D22" s="6">
        <v>2.4253130567436338</v>
      </c>
      <c r="E22" s="6">
        <v>4302772.1610903926</v>
      </c>
      <c r="F22" s="5" t="s">
        <v>70</v>
      </c>
      <c r="G22" s="5" t="str">
        <f>VLOOKUP(A22,Sheet1!B:G,6,FALSE)</f>
        <v>Leverage</v>
      </c>
    </row>
    <row r="23" spans="1:7" x14ac:dyDescent="0.2">
      <c r="A23" s="4" t="s">
        <v>26</v>
      </c>
      <c r="B23" s="6">
        <v>3.5</v>
      </c>
      <c r="C23" s="6">
        <v>1.99999999992666</v>
      </c>
      <c r="D23" s="6">
        <v>2.4002822369739585</v>
      </c>
      <c r="E23" s="6">
        <v>4234569.4565470126</v>
      </c>
      <c r="F23" s="5" t="s">
        <v>70</v>
      </c>
      <c r="G23" s="5" t="str">
        <f>VLOOKUP(A23,Sheet1!B:G,6,FALSE)</f>
        <v>Leverage</v>
      </c>
    </row>
    <row r="24" spans="1:7" x14ac:dyDescent="0.2">
      <c r="A24" s="4" t="s">
        <v>40</v>
      </c>
      <c r="B24" s="6">
        <v>0.75</v>
      </c>
      <c r="C24" s="6">
        <v>2.6666666665899896</v>
      </c>
      <c r="D24" s="6">
        <v>2.6870892497379417</v>
      </c>
      <c r="E24" s="6">
        <v>4094666.7919076323</v>
      </c>
      <c r="F24" s="5" t="s">
        <v>70</v>
      </c>
      <c r="G24" s="5" t="str">
        <f>VLOOKUP(A24,Sheet1!B:G,6,FALSE)</f>
        <v>Critical</v>
      </c>
    </row>
    <row r="25" spans="1:7" x14ac:dyDescent="0.2">
      <c r="A25" s="4" t="s">
        <v>46</v>
      </c>
      <c r="B25" s="6">
        <v>2.25</v>
      </c>
      <c r="C25" s="6">
        <v>2.9999999998899902</v>
      </c>
      <c r="D25" s="6">
        <v>2.7081050452173967</v>
      </c>
      <c r="E25" s="6">
        <v>4067287.9458776945</v>
      </c>
      <c r="F25" s="5" t="s">
        <v>69</v>
      </c>
      <c r="G25" s="5" t="str">
        <f>VLOOKUP(A25,Sheet1!B:G,6,FALSE)</f>
        <v>Essential</v>
      </c>
    </row>
    <row r="26" spans="1:7" x14ac:dyDescent="0.2">
      <c r="A26" s="4" t="s">
        <v>49</v>
      </c>
      <c r="B26" s="6">
        <v>2</v>
      </c>
      <c r="C26" s="6">
        <v>3.1666666665583199</v>
      </c>
      <c r="D26" s="6">
        <v>2.1473419577141031</v>
      </c>
      <c r="E26" s="6">
        <v>4061136.7744126841</v>
      </c>
      <c r="F26" s="5" t="s">
        <v>69</v>
      </c>
      <c r="G26" s="5" t="str">
        <f>VLOOKUP(A26,Sheet1!B:G,6,FALSE)</f>
        <v>Critical</v>
      </c>
    </row>
    <row r="27" spans="1:7" x14ac:dyDescent="0.2">
      <c r="A27" s="4" t="s">
        <v>55</v>
      </c>
      <c r="B27" s="6">
        <v>3.25</v>
      </c>
      <c r="C27" s="6">
        <v>3.3333333332233197</v>
      </c>
      <c r="D27" s="6">
        <v>2.4090116441472373</v>
      </c>
      <c r="E27" s="6">
        <v>3240661.578787406</v>
      </c>
      <c r="F27" s="5" t="s">
        <v>70</v>
      </c>
      <c r="G27" s="5" t="str">
        <f>VLOOKUP(A27,Sheet1!B:G,6,FALSE)</f>
        <v>Essential</v>
      </c>
    </row>
    <row r="28" spans="1:7" x14ac:dyDescent="0.2">
      <c r="A28" s="4" t="s">
        <v>6</v>
      </c>
      <c r="B28" s="6">
        <v>0.25</v>
      </c>
      <c r="C28" s="6">
        <v>0.33333333333332998</v>
      </c>
      <c r="D28" s="6">
        <v>1.1852295753357172</v>
      </c>
      <c r="E28" s="6">
        <v>2964699.53970335</v>
      </c>
      <c r="F28" s="5" t="s">
        <v>69</v>
      </c>
      <c r="G28" s="5" t="str">
        <f>VLOOKUP(A28,Sheet1!B:G,6,FALSE)</f>
        <v>Routine</v>
      </c>
    </row>
    <row r="29" spans="1:7" x14ac:dyDescent="0.2">
      <c r="A29" s="4" t="s">
        <v>16</v>
      </c>
      <c r="B29" s="6">
        <v>3</v>
      </c>
      <c r="C29" s="6">
        <v>1.6666666665933298</v>
      </c>
      <c r="D29" s="6">
        <v>2.2993018758712651</v>
      </c>
      <c r="E29" s="6">
        <v>2846050.0621576393</v>
      </c>
      <c r="F29" s="5" t="s">
        <v>70</v>
      </c>
      <c r="G29" s="5" t="str">
        <f>VLOOKUP(A29,Sheet1!B:G,6,FALSE)</f>
        <v>Leverage</v>
      </c>
    </row>
    <row r="30" spans="1:7" x14ac:dyDescent="0.2">
      <c r="A30" s="4" t="s">
        <v>66</v>
      </c>
      <c r="B30" s="6">
        <v>3.625</v>
      </c>
      <c r="C30" s="6">
        <v>3.6666666665533194</v>
      </c>
      <c r="D30" s="6">
        <v>1.7918851049831694</v>
      </c>
      <c r="E30" s="6">
        <v>2778786.5735496329</v>
      </c>
      <c r="F30" s="5" t="s">
        <v>70</v>
      </c>
      <c r="G30" s="5" t="str">
        <f>VLOOKUP(A30,Sheet1!B:G,6,FALSE)</f>
        <v>Strategic</v>
      </c>
    </row>
    <row r="31" spans="1:7" x14ac:dyDescent="0.2">
      <c r="A31" s="4" t="s">
        <v>68</v>
      </c>
      <c r="B31" s="6">
        <v>2.5</v>
      </c>
      <c r="C31" s="6">
        <v>3.99999999985332</v>
      </c>
      <c r="D31" s="6">
        <v>2.1709510825956748</v>
      </c>
      <c r="E31" s="6">
        <v>2630346.1447539879</v>
      </c>
      <c r="F31" s="5" t="s">
        <v>69</v>
      </c>
      <c r="G31" s="5" t="str">
        <f>VLOOKUP(A31,Sheet1!B:G,6,FALSE)</f>
        <v>Essential</v>
      </c>
    </row>
    <row r="32" spans="1:7" x14ac:dyDescent="0.2">
      <c r="A32" s="4" t="s">
        <v>50</v>
      </c>
      <c r="B32" s="6">
        <v>2.625</v>
      </c>
      <c r="C32" s="6">
        <v>3.1666666665583199</v>
      </c>
      <c r="D32" s="6">
        <v>1.1944824766642217</v>
      </c>
      <c r="E32" s="6">
        <v>2435380.6971863443</v>
      </c>
      <c r="F32" s="5" t="s">
        <v>69</v>
      </c>
      <c r="G32" s="5" t="str">
        <f>VLOOKUP(A32,Sheet1!B:G,6,FALSE)</f>
        <v>Strategic</v>
      </c>
    </row>
    <row r="33" spans="1:7" x14ac:dyDescent="0.2">
      <c r="A33" s="4" t="s">
        <v>19</v>
      </c>
      <c r="B33" s="6">
        <v>0.5</v>
      </c>
      <c r="C33" s="6">
        <v>1.6666666666266599</v>
      </c>
      <c r="D33" s="6">
        <v>1.5074300301281167</v>
      </c>
      <c r="E33" s="6">
        <v>2097341.941881537</v>
      </c>
      <c r="F33" s="5" t="s">
        <v>69</v>
      </c>
      <c r="G33" s="5" t="str">
        <f>VLOOKUP(A33,Sheet1!B:G,6,FALSE)</f>
        <v>Routine</v>
      </c>
    </row>
    <row r="34" spans="1:7" x14ac:dyDescent="0.2">
      <c r="A34" s="4" t="s">
        <v>15</v>
      </c>
      <c r="B34" s="6">
        <v>2.5</v>
      </c>
      <c r="C34" s="6">
        <v>1.6666666665933298</v>
      </c>
      <c r="D34" s="6">
        <v>2.2500634145183356</v>
      </c>
      <c r="E34" s="6">
        <v>2074762.965381284</v>
      </c>
      <c r="F34" s="5" t="s">
        <v>70</v>
      </c>
      <c r="G34" s="5" t="str">
        <f>VLOOKUP(A34,Sheet1!B:G,6,FALSE)</f>
        <v>Leverage</v>
      </c>
    </row>
    <row r="35" spans="1:7" x14ac:dyDescent="0.2">
      <c r="A35" s="4" t="s">
        <v>20</v>
      </c>
      <c r="B35" s="6">
        <v>0.5</v>
      </c>
      <c r="C35" s="6">
        <v>1.99999999992666</v>
      </c>
      <c r="D35" s="6">
        <v>1.1542043385281096</v>
      </c>
      <c r="E35" s="6">
        <v>1970319.5995661386</v>
      </c>
      <c r="F35" s="5" t="s">
        <v>69</v>
      </c>
      <c r="G35" s="5" t="str">
        <f>VLOOKUP(A35,Sheet1!B:G,6,FALSE)</f>
        <v>Routine</v>
      </c>
    </row>
    <row r="36" spans="1:7" x14ac:dyDescent="0.2">
      <c r="A36" s="4" t="s">
        <v>54</v>
      </c>
      <c r="B36" s="6">
        <v>3</v>
      </c>
      <c r="C36" s="6">
        <v>3.3333333332199899</v>
      </c>
      <c r="D36" s="6">
        <v>2.1519912257503369</v>
      </c>
      <c r="E36" s="6">
        <v>1877474.5647714906</v>
      </c>
      <c r="F36" s="5" t="s">
        <v>69</v>
      </c>
      <c r="G36" s="5" t="str">
        <f>VLOOKUP(A36,Sheet1!B:G,6,FALSE)</f>
        <v>Essential</v>
      </c>
    </row>
    <row r="37" spans="1:7" x14ac:dyDescent="0.2">
      <c r="A37" s="4" t="s">
        <v>38</v>
      </c>
      <c r="B37" s="6">
        <v>4</v>
      </c>
      <c r="C37" s="6">
        <v>2.6666666665599896</v>
      </c>
      <c r="D37" s="6">
        <v>2.7013250362694086</v>
      </c>
      <c r="E37" s="6">
        <v>1829297.8623500965</v>
      </c>
      <c r="F37" s="5" t="s">
        <v>69</v>
      </c>
      <c r="G37" s="5" t="str">
        <f>VLOOKUP(A37,Sheet1!B:G,6,FALSE)</f>
        <v>Essential</v>
      </c>
    </row>
    <row r="38" spans="1:7" x14ac:dyDescent="0.2">
      <c r="A38" s="4" t="s">
        <v>37</v>
      </c>
      <c r="B38" s="6">
        <v>3.5</v>
      </c>
      <c r="C38" s="6">
        <v>2.6666666665566598</v>
      </c>
      <c r="D38" s="6">
        <v>2.4995357080058649</v>
      </c>
      <c r="E38" s="6">
        <v>1799943.5239264593</v>
      </c>
      <c r="F38" s="5" t="s">
        <v>69</v>
      </c>
      <c r="G38" s="5" t="str">
        <f>VLOOKUP(A38,Sheet1!B:G,6,FALSE)</f>
        <v>Essential</v>
      </c>
    </row>
    <row r="39" spans="1:7" x14ac:dyDescent="0.2">
      <c r="A39" s="4" t="s">
        <v>43</v>
      </c>
      <c r="B39" s="6">
        <v>3.5</v>
      </c>
      <c r="C39" s="6">
        <v>2.6666666665933199</v>
      </c>
      <c r="D39" s="6">
        <v>2.3582127724635695</v>
      </c>
      <c r="E39" s="6">
        <v>1792079.6447336387</v>
      </c>
      <c r="F39" s="5" t="s">
        <v>70</v>
      </c>
      <c r="G39" s="5" t="str">
        <f>VLOOKUP(A39,Sheet1!B:G,6,FALSE)</f>
        <v>Essential</v>
      </c>
    </row>
    <row r="40" spans="1:7" x14ac:dyDescent="0.2">
      <c r="A40" s="4" t="s">
        <v>95</v>
      </c>
      <c r="B40" s="6">
        <v>3</v>
      </c>
      <c r="C40" s="6">
        <v>2.3333333332599899</v>
      </c>
      <c r="D40" s="6">
        <v>2.3589296461229345</v>
      </c>
      <c r="E40" s="6">
        <v>1787719.2687754412</v>
      </c>
      <c r="F40" s="5" t="s">
        <v>69</v>
      </c>
      <c r="G40" s="5" t="str">
        <f>VLOOKUP(A40,Sheet1!B:G,6,FALSE)</f>
        <v>Essential</v>
      </c>
    </row>
    <row r="41" spans="1:7" x14ac:dyDescent="0.2">
      <c r="A41" s="4" t="s">
        <v>7</v>
      </c>
      <c r="B41" s="6">
        <v>3.75</v>
      </c>
      <c r="C41" s="6">
        <v>0.99999999996333</v>
      </c>
      <c r="D41" s="6">
        <v>2.5588600335019005</v>
      </c>
      <c r="E41" s="6">
        <v>1768232.7127289318</v>
      </c>
      <c r="F41" s="5" t="s">
        <v>70</v>
      </c>
      <c r="G41" s="5" t="str">
        <f>VLOOKUP(A41,Sheet1!B:G,6,FALSE)</f>
        <v>Leverage</v>
      </c>
    </row>
    <row r="42" spans="1:7" x14ac:dyDescent="0.2">
      <c r="A42" s="4" t="s">
        <v>53</v>
      </c>
      <c r="B42" s="6">
        <v>3.25</v>
      </c>
      <c r="C42" s="6">
        <v>3.3333333331866597</v>
      </c>
      <c r="D42" s="6">
        <v>1.6843765656179661</v>
      </c>
      <c r="E42" s="6">
        <v>1680475.4606148484</v>
      </c>
      <c r="F42" s="5" t="s">
        <v>70</v>
      </c>
      <c r="G42" s="5" t="str">
        <f>VLOOKUP(A42,Sheet1!B:G,6,FALSE)</f>
        <v>Strategic</v>
      </c>
    </row>
    <row r="43" spans="1:7" x14ac:dyDescent="0.2">
      <c r="A43" s="4" t="s">
        <v>12</v>
      </c>
      <c r="B43" s="6">
        <v>3</v>
      </c>
      <c r="C43" s="6">
        <v>1.3333333332966599</v>
      </c>
      <c r="D43" s="6">
        <v>2.2153417909195756</v>
      </c>
      <c r="E43" s="6">
        <v>1647596.5385217043</v>
      </c>
      <c r="F43" s="5" t="s">
        <v>70</v>
      </c>
      <c r="G43" s="5" t="str">
        <f>VLOOKUP(A43,Sheet1!B:G,6,FALSE)</f>
        <v>Leverage</v>
      </c>
    </row>
    <row r="44" spans="1:7" x14ac:dyDescent="0.2">
      <c r="A44" s="4" t="s">
        <v>57</v>
      </c>
      <c r="B44" s="6">
        <v>3.25</v>
      </c>
      <c r="C44" s="6">
        <v>3.3333333332233197</v>
      </c>
      <c r="D44" s="6">
        <v>2.3904055248146796</v>
      </c>
      <c r="E44" s="6">
        <v>1535209.7390566103</v>
      </c>
      <c r="F44" s="5" t="s">
        <v>70</v>
      </c>
      <c r="G44" s="5" t="str">
        <f>VLOOKUP(A44,Sheet1!B:G,6,FALSE)</f>
        <v>Essential</v>
      </c>
    </row>
    <row r="45" spans="1:7" x14ac:dyDescent="0.2">
      <c r="A45" s="4" t="s">
        <v>31</v>
      </c>
      <c r="B45" s="6">
        <v>0.75</v>
      </c>
      <c r="C45" s="6">
        <v>2.3333333332599899</v>
      </c>
      <c r="D45" s="6">
        <v>2.4083590686784468</v>
      </c>
      <c r="E45" s="6">
        <v>1466902.2174520742</v>
      </c>
      <c r="F45" s="5" t="s">
        <v>70</v>
      </c>
      <c r="G45" s="5" t="str">
        <f>VLOOKUP(A45,Sheet1!B:G,6,FALSE)</f>
        <v>Critical</v>
      </c>
    </row>
    <row r="46" spans="1:7" x14ac:dyDescent="0.2">
      <c r="A46" s="4" t="s">
        <v>13</v>
      </c>
      <c r="B46" s="6">
        <v>3.25</v>
      </c>
      <c r="C46" s="6">
        <v>1.3333333332966599</v>
      </c>
      <c r="D46" s="6">
        <v>2.2885763526130254</v>
      </c>
      <c r="E46" s="6">
        <v>1466508.3807331121</v>
      </c>
      <c r="F46" s="5" t="s">
        <v>70</v>
      </c>
      <c r="G46" s="5" t="str">
        <f>VLOOKUP(A46,Sheet1!B:G,6,FALSE)</f>
        <v>Leverage</v>
      </c>
    </row>
    <row r="47" spans="1:7" x14ac:dyDescent="0.2">
      <c r="A47" s="4" t="s">
        <v>30</v>
      </c>
      <c r="B47" s="6">
        <v>0.5</v>
      </c>
      <c r="C47" s="6">
        <v>2.3333333332599899</v>
      </c>
      <c r="D47" s="6">
        <v>2.6750018508399922</v>
      </c>
      <c r="E47" s="6">
        <v>1454169.0764696521</v>
      </c>
      <c r="F47" s="5" t="s">
        <v>70</v>
      </c>
      <c r="G47" s="5" t="str">
        <f>VLOOKUP(A47,Sheet1!B:G,6,FALSE)</f>
        <v>Critical</v>
      </c>
    </row>
    <row r="48" spans="1:7" x14ac:dyDescent="0.2">
      <c r="A48" s="4" t="s">
        <v>34</v>
      </c>
      <c r="B48" s="6">
        <v>3.5</v>
      </c>
      <c r="C48" s="6">
        <v>2.3333333332599899</v>
      </c>
      <c r="D48" s="6">
        <v>2.0485412461226549</v>
      </c>
      <c r="E48" s="6">
        <v>1452696.6242293175</v>
      </c>
      <c r="F48" s="5" t="s">
        <v>69</v>
      </c>
      <c r="G48" s="5" t="str">
        <f>VLOOKUP(A48,Sheet1!B:G,6,FALSE)</f>
        <v>Essential</v>
      </c>
    </row>
    <row r="49" spans="1:7" x14ac:dyDescent="0.2">
      <c r="A49" s="4" t="s">
        <v>59</v>
      </c>
      <c r="B49" s="6">
        <v>4</v>
      </c>
      <c r="C49" s="6">
        <v>3.3333333332233197</v>
      </c>
      <c r="D49" s="6">
        <v>2.4588841927746916</v>
      </c>
      <c r="E49" s="6">
        <v>1825842.01</v>
      </c>
      <c r="F49" s="5" t="s">
        <v>69</v>
      </c>
      <c r="G49" s="5" t="str">
        <f>VLOOKUP(A49,Sheet1!B:G,6,FALSE)</f>
        <v>Essential</v>
      </c>
    </row>
    <row r="50" spans="1:7" x14ac:dyDescent="0.2">
      <c r="A50" s="4" t="s">
        <v>47</v>
      </c>
      <c r="B50" s="6">
        <v>2.5</v>
      </c>
      <c r="C50" s="6">
        <v>2.99999999992332</v>
      </c>
      <c r="D50" s="6">
        <v>1.7584334522805447</v>
      </c>
      <c r="E50" s="6">
        <v>1262871.113945642</v>
      </c>
      <c r="F50" s="5" t="s">
        <v>69</v>
      </c>
      <c r="G50" s="5" t="str">
        <f>VLOOKUP(A50,Sheet1!B:G,6,FALSE)</f>
        <v>Strategic</v>
      </c>
    </row>
    <row r="51" spans="1:7" x14ac:dyDescent="0.2">
      <c r="A51" s="4" t="s">
        <v>62</v>
      </c>
      <c r="B51" s="6">
        <v>3.25</v>
      </c>
      <c r="C51" s="6">
        <v>3.49999999990332</v>
      </c>
      <c r="D51" s="6">
        <v>1.9984682001559455</v>
      </c>
      <c r="E51" s="6">
        <v>1249040.1932963154</v>
      </c>
      <c r="F51" s="5" t="s">
        <v>70</v>
      </c>
      <c r="G51" s="5" t="str">
        <f>VLOOKUP(A51,Sheet1!B:G,6,FALSE)</f>
        <v>Strategic</v>
      </c>
    </row>
    <row r="52" spans="1:7" x14ac:dyDescent="0.2">
      <c r="A52" s="4" t="s">
        <v>97</v>
      </c>
      <c r="B52" s="6">
        <v>3.5</v>
      </c>
      <c r="C52" s="6">
        <v>2.3333333332599899</v>
      </c>
      <c r="D52" s="6">
        <v>2.3684912546842534</v>
      </c>
      <c r="E52" s="6">
        <v>1238767.0892440039</v>
      </c>
      <c r="F52" s="5" t="s">
        <v>69</v>
      </c>
      <c r="G52" s="5" t="str">
        <f>VLOOKUP(A52,Sheet1!B:G,6,FALSE)</f>
        <v>Essential</v>
      </c>
    </row>
    <row r="53" spans="1:7" x14ac:dyDescent="0.2">
      <c r="A53" s="4" t="s">
        <v>27</v>
      </c>
      <c r="B53" s="6">
        <v>1</v>
      </c>
      <c r="C53" s="6">
        <v>1.99999999996332</v>
      </c>
      <c r="D53" s="6">
        <v>2.6100567693293462</v>
      </c>
      <c r="E53" s="6">
        <v>1146286.6907702549</v>
      </c>
      <c r="F53" s="5" t="s">
        <v>70</v>
      </c>
      <c r="G53" s="5" t="str">
        <f>VLOOKUP(A53,Sheet1!B:G,6,FALSE)</f>
        <v>Non-critical</v>
      </c>
    </row>
    <row r="54" spans="1:7" x14ac:dyDescent="0.2">
      <c r="A54" s="4" t="s">
        <v>22</v>
      </c>
      <c r="B54" s="6">
        <v>1.75</v>
      </c>
      <c r="C54" s="6">
        <v>1.99999999992666</v>
      </c>
      <c r="D54" s="6">
        <v>1.7148029019531235</v>
      </c>
      <c r="E54" s="6">
        <v>1091281.4909598755</v>
      </c>
      <c r="F54" s="5" t="s">
        <v>70</v>
      </c>
      <c r="G54" s="5" t="str">
        <f>VLOOKUP(A54,Sheet1!B:G,6,FALSE)</f>
        <v>Routine</v>
      </c>
    </row>
    <row r="55" spans="1:7" x14ac:dyDescent="0.2">
      <c r="A55" s="4" t="s">
        <v>52</v>
      </c>
      <c r="B55" s="6">
        <v>3.25</v>
      </c>
      <c r="C55" s="6">
        <v>3.3333333331866597</v>
      </c>
      <c r="D55" s="6">
        <v>1.7253999954095365</v>
      </c>
      <c r="E55" s="6">
        <v>1054089.2895581885</v>
      </c>
      <c r="F55" s="5" t="s">
        <v>70</v>
      </c>
      <c r="G55" s="5" t="str">
        <f>VLOOKUP(A55,Sheet1!B:G,6,FALSE)</f>
        <v>Strategic</v>
      </c>
    </row>
    <row r="56" spans="1:7" x14ac:dyDescent="0.2">
      <c r="A56" s="4" t="s">
        <v>98</v>
      </c>
      <c r="B56" s="6">
        <v>3.5</v>
      </c>
      <c r="C56" s="6">
        <v>2.3333333332599899</v>
      </c>
      <c r="D56" s="6">
        <v>2.445119711233628</v>
      </c>
      <c r="E56" s="6">
        <v>1053661.9635950113</v>
      </c>
      <c r="F56" s="5" t="s">
        <v>70</v>
      </c>
      <c r="G56" s="5" t="str">
        <f>VLOOKUP(A56,Sheet1!B:G,6,FALSE)</f>
        <v>Essential</v>
      </c>
    </row>
    <row r="57" spans="1:7" x14ac:dyDescent="0.2">
      <c r="A57" s="4" t="s">
        <v>45</v>
      </c>
      <c r="B57" s="6">
        <v>1.75</v>
      </c>
      <c r="C57" s="6">
        <v>2.9999999998899902</v>
      </c>
      <c r="D57" s="6">
        <v>1.6834837689028324</v>
      </c>
      <c r="E57" s="6">
        <v>1011686.6062585523</v>
      </c>
      <c r="F57" s="5" t="s">
        <v>69</v>
      </c>
      <c r="G57" s="5" t="str">
        <f>VLOOKUP(A57,Sheet1!B:G,6,FALSE)</f>
        <v>Bottleneck</v>
      </c>
    </row>
    <row r="58" spans="1:7" x14ac:dyDescent="0.2">
      <c r="A58" s="4" t="s">
        <v>60</v>
      </c>
      <c r="B58" s="6">
        <v>3.4166666666666665</v>
      </c>
      <c r="C58" s="6">
        <v>3.4444444443333202</v>
      </c>
      <c r="D58" s="6">
        <v>1.7123432746850595</v>
      </c>
      <c r="E58" s="6">
        <v>956137.24039525934</v>
      </c>
      <c r="F58" s="5" t="s">
        <v>70</v>
      </c>
      <c r="G58" s="5" t="str">
        <f>VLOOKUP(A58,Sheet1!B:G,6,FALSE)</f>
        <v>Strategic</v>
      </c>
    </row>
    <row r="59" spans="1:7" x14ac:dyDescent="0.2">
      <c r="A59" s="4" t="s">
        <v>33</v>
      </c>
      <c r="B59" s="6">
        <v>3.5</v>
      </c>
      <c r="C59" s="6">
        <v>2.3333333332599899</v>
      </c>
      <c r="D59" s="6">
        <v>2.1277172503323705</v>
      </c>
      <c r="E59" s="6">
        <v>885096.51817367633</v>
      </c>
      <c r="F59" s="5" t="s">
        <v>69</v>
      </c>
      <c r="G59" s="5" t="str">
        <f>VLOOKUP(A59,Sheet1!B:G,6,FALSE)</f>
        <v>Essential</v>
      </c>
    </row>
    <row r="60" spans="1:7" x14ac:dyDescent="0.2">
      <c r="A60" s="4" t="s">
        <v>44</v>
      </c>
      <c r="B60" s="6">
        <v>3.5</v>
      </c>
      <c r="C60" s="6">
        <v>2.6666666665933199</v>
      </c>
      <c r="D60" s="6">
        <v>2.3194631165943584</v>
      </c>
      <c r="E60" s="6">
        <v>836708.29397580039</v>
      </c>
      <c r="F60" s="5" t="s">
        <v>70</v>
      </c>
      <c r="G60" s="5" t="str">
        <f>VLOOKUP(A60,Sheet1!B:G,6,FALSE)</f>
        <v>Essential</v>
      </c>
    </row>
    <row r="61" spans="1:7" x14ac:dyDescent="0.2">
      <c r="A61" s="4" t="s">
        <v>67</v>
      </c>
      <c r="B61" s="6">
        <v>3.75</v>
      </c>
      <c r="C61" s="6">
        <v>3.6666666665533194</v>
      </c>
      <c r="D61" s="6">
        <v>2.483072266394637</v>
      </c>
      <c r="E61" s="6">
        <v>835731.64111521747</v>
      </c>
      <c r="F61" s="5" t="s">
        <v>70</v>
      </c>
      <c r="G61" s="5" t="str">
        <f>VLOOKUP(A61,Sheet1!B:G,6,FALSE)</f>
        <v>Essential</v>
      </c>
    </row>
    <row r="62" spans="1:7" x14ac:dyDescent="0.2">
      <c r="A62" s="4" t="s">
        <v>100</v>
      </c>
      <c r="B62" s="6">
        <v>4</v>
      </c>
      <c r="C62" s="6">
        <v>3.6666666665533194</v>
      </c>
      <c r="D62" s="6">
        <v>2.387682205713912</v>
      </c>
      <c r="E62" s="6">
        <v>790048.3725707659</v>
      </c>
      <c r="F62" s="5" t="s">
        <v>70</v>
      </c>
      <c r="G62" s="5" t="str">
        <f>VLOOKUP(A62,Sheet1!B:G,6,FALSE)</f>
        <v>Essential</v>
      </c>
    </row>
    <row r="63" spans="1:7" x14ac:dyDescent="0.2">
      <c r="A63" s="4" t="s">
        <v>64</v>
      </c>
      <c r="B63" s="6">
        <v>3.5</v>
      </c>
      <c r="C63" s="6">
        <v>3.6666666665533194</v>
      </c>
      <c r="D63" s="6">
        <v>1.8531516259483527</v>
      </c>
      <c r="E63" s="6">
        <v>763614.93622935633</v>
      </c>
      <c r="F63" s="5" t="s">
        <v>70</v>
      </c>
      <c r="G63" s="5" t="str">
        <f>VLOOKUP(A63,Sheet1!B:G,6,FALSE)</f>
        <v>Strategic</v>
      </c>
    </row>
    <row r="64" spans="1:7" x14ac:dyDescent="0.2">
      <c r="A64" s="4" t="s">
        <v>56</v>
      </c>
      <c r="B64" s="6">
        <v>3.25</v>
      </c>
      <c r="C64" s="6">
        <v>3.3333333332233197</v>
      </c>
      <c r="D64" s="6">
        <v>2.3345565737960019</v>
      </c>
      <c r="E64" s="6">
        <v>755639.40929415636</v>
      </c>
      <c r="F64" s="5" t="s">
        <v>70</v>
      </c>
      <c r="G64" s="5" t="str">
        <f>VLOOKUP(A64,Sheet1!B:G,6,FALSE)</f>
        <v>Essential</v>
      </c>
    </row>
    <row r="65" spans="1:7" x14ac:dyDescent="0.2">
      <c r="A65" s="4" t="s">
        <v>39</v>
      </c>
      <c r="B65" s="6">
        <v>4</v>
      </c>
      <c r="C65" s="6">
        <v>2.6666666665599896</v>
      </c>
      <c r="D65" s="6">
        <v>2.7607990956980109</v>
      </c>
      <c r="E65" s="6">
        <v>706033.53111596289</v>
      </c>
      <c r="F65" s="5" t="s">
        <v>69</v>
      </c>
      <c r="G65" s="5" t="str">
        <f>VLOOKUP(A65,Sheet1!B:G,6,FALSE)</f>
        <v>Essential</v>
      </c>
    </row>
    <row r="66" spans="1:7" x14ac:dyDescent="0.2">
      <c r="A66" s="4" t="s">
        <v>101</v>
      </c>
      <c r="B66" s="6">
        <v>2.75</v>
      </c>
      <c r="C66" s="6">
        <v>2.3333333332599899</v>
      </c>
      <c r="D66" s="6">
        <v>2.0026893531900702</v>
      </c>
      <c r="E66" s="6">
        <v>637578.12319433712</v>
      </c>
      <c r="F66" s="5" t="s">
        <v>69</v>
      </c>
      <c r="G66" s="5" t="str">
        <f>VLOOKUP(A66,Sheet1!B:G,6,FALSE)</f>
        <v>Essential</v>
      </c>
    </row>
    <row r="67" spans="1:7" x14ac:dyDescent="0.2">
      <c r="A67" s="4" t="s">
        <v>104</v>
      </c>
      <c r="B67" s="6">
        <v>2</v>
      </c>
      <c r="C67" s="6">
        <v>2.6666666665933199</v>
      </c>
      <c r="D67" s="6">
        <v>1.742353202489074</v>
      </c>
      <c r="E67" s="6">
        <v>428967.45560983272</v>
      </c>
      <c r="F67" s="5" t="s">
        <v>70</v>
      </c>
      <c r="G67" s="5" t="str">
        <f>VLOOKUP(A67,Sheet1!B:G,6,FALSE)</f>
        <v>Bottleneck</v>
      </c>
    </row>
    <row r="68" spans="1:7" x14ac:dyDescent="0.2">
      <c r="A68" s="4" t="s">
        <v>61</v>
      </c>
      <c r="B68" s="6">
        <v>2.25</v>
      </c>
      <c r="C68" s="6">
        <v>3.4999999998716547</v>
      </c>
      <c r="D68" s="6">
        <v>2.0727662156159985</v>
      </c>
      <c r="E68" s="6">
        <v>417920.75734323054</v>
      </c>
      <c r="F68" s="5" t="s">
        <v>70</v>
      </c>
      <c r="G68" s="5" t="str">
        <f>VLOOKUP(A68,Sheet1!B:G,6,FALSE)</f>
        <v>Essential</v>
      </c>
    </row>
    <row r="69" spans="1:7" x14ac:dyDescent="0.2">
      <c r="A69" s="4" t="s">
        <v>105</v>
      </c>
      <c r="B69" s="6">
        <v>3</v>
      </c>
      <c r="C69" s="6">
        <v>2.3333333332633197</v>
      </c>
      <c r="D69" s="6">
        <v>2.3069405676038315</v>
      </c>
      <c r="E69" s="6">
        <v>413573.76317165489</v>
      </c>
      <c r="F69" s="5" t="s">
        <v>69</v>
      </c>
      <c r="G69" s="5" t="str">
        <f>VLOOKUP(A69,Sheet1!B:G,6,FALSE)</f>
        <v>Essential</v>
      </c>
    </row>
    <row r="70" spans="1:7" x14ac:dyDescent="0.2">
      <c r="A70" s="4" t="s">
        <v>11</v>
      </c>
      <c r="B70" s="6">
        <v>2.5</v>
      </c>
      <c r="C70" s="6">
        <v>1.3333333332966599</v>
      </c>
      <c r="D70" s="6">
        <v>1.5016143640831028</v>
      </c>
      <c r="E70" s="6">
        <v>413182.45255378622</v>
      </c>
      <c r="F70" s="5" t="s">
        <v>70</v>
      </c>
      <c r="G70" s="5" t="str">
        <f>VLOOKUP(A70,Sheet1!B:G,6,FALSE)</f>
        <v>Competitive</v>
      </c>
    </row>
    <row r="71" spans="1:7" x14ac:dyDescent="0.2">
      <c r="A71" s="4" t="s">
        <v>106</v>
      </c>
      <c r="B71" s="6">
        <v>2.75</v>
      </c>
      <c r="C71" s="6">
        <v>1.6666666665966599</v>
      </c>
      <c r="D71" s="6">
        <v>1.9362602246477894</v>
      </c>
      <c r="E71" s="6">
        <v>392625.31783521437</v>
      </c>
      <c r="F71" s="5" t="s">
        <v>69</v>
      </c>
      <c r="G71" s="5" t="str">
        <f>VLOOKUP(A71,Sheet1!B:G,6,FALSE)</f>
        <v>Competitive</v>
      </c>
    </row>
    <row r="72" spans="1:7" x14ac:dyDescent="0.2">
      <c r="A72" s="4" t="s">
        <v>28</v>
      </c>
      <c r="B72" s="6">
        <v>3.25</v>
      </c>
      <c r="C72" s="6">
        <v>2.3333333332266597</v>
      </c>
      <c r="D72" s="6">
        <v>1.5460099032112558</v>
      </c>
      <c r="E72" s="6">
        <v>329923.90008810873</v>
      </c>
      <c r="F72" s="5" t="s">
        <v>70</v>
      </c>
      <c r="G72" s="5" t="str">
        <f>VLOOKUP(A72,Sheet1!B:G,6,FALSE)</f>
        <v>Strategic</v>
      </c>
    </row>
    <row r="73" spans="1:7" x14ac:dyDescent="0.2">
      <c r="A73" s="4" t="s">
        <v>9</v>
      </c>
      <c r="B73" s="6">
        <v>2.25</v>
      </c>
      <c r="C73" s="6">
        <v>0.99999999996666</v>
      </c>
      <c r="D73" s="6">
        <v>1.1970647367922544</v>
      </c>
      <c r="E73" s="6">
        <v>260885.07346091041</v>
      </c>
      <c r="F73" s="5" t="s">
        <v>70</v>
      </c>
      <c r="G73" s="5" t="str">
        <f>VLOOKUP(A73,Sheet1!B:G,6,FALSE)</f>
        <v>Competitive</v>
      </c>
    </row>
    <row r="74" spans="1:7" x14ac:dyDescent="0.2">
      <c r="A74" s="4" t="s">
        <v>108</v>
      </c>
      <c r="B74" s="6">
        <v>3.5</v>
      </c>
      <c r="C74" s="6">
        <v>3.3333333332233197</v>
      </c>
      <c r="D74" s="6">
        <v>2.4317792261680902</v>
      </c>
      <c r="E74" s="6">
        <v>253316.02452037446</v>
      </c>
      <c r="F74" s="5" t="s">
        <v>70</v>
      </c>
      <c r="G74" s="5" t="str">
        <f>VLOOKUP(A74,Sheet1!B:G,6,FALSE)</f>
        <v>Essential</v>
      </c>
    </row>
    <row r="75" spans="1:7" x14ac:dyDescent="0.2">
      <c r="A75" s="4" t="s">
        <v>111</v>
      </c>
      <c r="B75" s="6">
        <v>3.25</v>
      </c>
      <c r="C75" s="6">
        <v>2.3333333332599899</v>
      </c>
      <c r="D75" s="6">
        <v>2.4795147376979223</v>
      </c>
      <c r="E75" s="6">
        <v>109204.96218379799</v>
      </c>
      <c r="F75" s="5" t="s">
        <v>70</v>
      </c>
      <c r="G75" s="5" t="str">
        <f>VLOOKUP(A75,Sheet1!B:G,6,FALSE)</f>
        <v>Essential</v>
      </c>
    </row>
    <row r="76" spans="1:7" x14ac:dyDescent="0.2">
      <c r="A76" s="4" t="s">
        <v>48</v>
      </c>
      <c r="B76" s="6">
        <v>3.1666666666666665</v>
      </c>
      <c r="C76" s="6">
        <v>3.1111111110111</v>
      </c>
      <c r="D76" s="6">
        <v>2.2277931220581286</v>
      </c>
      <c r="E76" s="6">
        <v>100167.52164521268</v>
      </c>
      <c r="F76" s="5" t="s">
        <v>70</v>
      </c>
      <c r="G76" s="5" t="str">
        <f>VLOOKUP(A76,Sheet1!B:G,6,FALSE)</f>
        <v>Essential</v>
      </c>
    </row>
    <row r="77" spans="1:7" x14ac:dyDescent="0.2">
      <c r="A77" s="4" t="s">
        <v>112</v>
      </c>
      <c r="B77" s="6">
        <v>3.25</v>
      </c>
      <c r="C77" s="6">
        <v>1.6666666666299901</v>
      </c>
      <c r="D77" s="6">
        <v>2.6687164296082613</v>
      </c>
      <c r="E77" s="6">
        <v>57376.425615119239</v>
      </c>
      <c r="F77" s="5" t="s">
        <v>70</v>
      </c>
      <c r="G77" s="5" t="str">
        <f>VLOOKUP(A77,Sheet1!B:G,6,FALSE)</f>
        <v>Leverage</v>
      </c>
    </row>
    <row r="78" spans="1:7" x14ac:dyDescent="0.2">
      <c r="A78" s="4" t="s">
        <v>42</v>
      </c>
      <c r="B78" s="6">
        <v>3.25</v>
      </c>
      <c r="C78" s="6">
        <v>2.6666666665933199</v>
      </c>
      <c r="D78" s="6">
        <v>2.3179006241423652</v>
      </c>
      <c r="E78" s="6">
        <v>56915.596872324786</v>
      </c>
      <c r="F78" s="5" t="s">
        <v>70</v>
      </c>
      <c r="G78" s="5" t="str">
        <f>VLOOKUP(A78,Sheet1!B:G,6,FALSE)</f>
        <v>Essential</v>
      </c>
    </row>
    <row r="79" spans="1:7" x14ac:dyDescent="0.2">
      <c r="A79" s="4" t="s">
        <v>51</v>
      </c>
      <c r="B79" s="6">
        <v>2.625</v>
      </c>
      <c r="C79" s="6">
        <v>3.166666666571655</v>
      </c>
      <c r="D79" s="6">
        <v>2.3922065686298071</v>
      </c>
      <c r="E79" s="6">
        <v>26530.135660844273</v>
      </c>
      <c r="F79" s="5" t="s">
        <v>70</v>
      </c>
      <c r="G79" s="5" t="str">
        <f>VLOOKUP(A79,Sheet1!B:G,6,FALSE)</f>
        <v>Essential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127C3-0B7E-4E37-9B1A-189B4FC5C3D8}">
  <dimension ref="A1:L88"/>
  <sheetViews>
    <sheetView zoomScaleNormal="100" workbookViewId="0">
      <selection activeCell="B11" sqref="B11"/>
    </sheetView>
  </sheetViews>
  <sheetFormatPr defaultRowHeight="15" x14ac:dyDescent="0.25"/>
  <cols>
    <col min="1" max="1" width="22.88671875" customWidth="1"/>
    <col min="2" max="2" width="47.21875" customWidth="1"/>
    <col min="3" max="3" width="14.21875" hidden="1" customWidth="1"/>
    <col min="4" max="4" width="11.44140625" hidden="1" customWidth="1"/>
    <col min="5" max="5" width="9.77734375" hidden="1" customWidth="1"/>
    <col min="6" max="6" width="11.88671875" customWidth="1"/>
    <col min="7" max="7" width="16.5546875" customWidth="1"/>
    <col min="8" max="8" width="20.88671875" bestFit="1" customWidth="1"/>
    <col min="9" max="9" width="33.109375" bestFit="1" customWidth="1"/>
    <col min="10" max="10" width="13.88671875" bestFit="1" customWidth="1"/>
    <col min="11" max="11" width="10.88671875" bestFit="1" customWidth="1"/>
  </cols>
  <sheetData>
    <row r="1" spans="1:12" x14ac:dyDescent="0.25">
      <c r="A1" s="1" t="s">
        <v>71</v>
      </c>
      <c r="B1" s="2" t="s">
        <v>72</v>
      </c>
      <c r="C1" s="3" t="s">
        <v>5</v>
      </c>
      <c r="D1" s="1" t="s">
        <v>73</v>
      </c>
      <c r="E1" s="1" t="s">
        <v>74</v>
      </c>
      <c r="F1" s="1" t="s">
        <v>75</v>
      </c>
      <c r="G1" s="1" t="s">
        <v>76</v>
      </c>
      <c r="H1" s="2" t="s">
        <v>77</v>
      </c>
      <c r="I1" s="2" t="s">
        <v>78</v>
      </c>
      <c r="J1" s="2" t="s">
        <v>79</v>
      </c>
      <c r="K1" s="2" t="s">
        <v>80</v>
      </c>
      <c r="L1" t="s">
        <v>5</v>
      </c>
    </row>
    <row r="2" spans="1:12" x14ac:dyDescent="0.25">
      <c r="A2" s="1" t="s">
        <v>69</v>
      </c>
      <c r="B2" s="1" t="s">
        <v>24</v>
      </c>
      <c r="C2" s="1" t="str">
        <f>VLOOKUP(Table2[[#This Row],[UNSPC category]],data!A:F,6,FALSE)</f>
        <v>Services</v>
      </c>
      <c r="D2" s="1">
        <v>81110000</v>
      </c>
      <c r="E2" s="1" t="s">
        <v>81</v>
      </c>
      <c r="F2" s="1" t="s">
        <v>113</v>
      </c>
      <c r="G2" s="1" t="s">
        <v>114</v>
      </c>
      <c r="H2" s="1">
        <v>3.25</v>
      </c>
      <c r="I2" s="1">
        <v>1.99999999992666</v>
      </c>
      <c r="J2" s="1">
        <v>2.1843190780303767</v>
      </c>
      <c r="K2" s="1">
        <v>19703967.596860986</v>
      </c>
      <c r="L2" t="s">
        <v>69</v>
      </c>
    </row>
    <row r="3" spans="1:12" x14ac:dyDescent="0.25">
      <c r="A3" s="1" t="s">
        <v>82</v>
      </c>
      <c r="B3" s="1" t="s">
        <v>65</v>
      </c>
      <c r="C3" s="1" t="str">
        <f>VLOOKUP(Table2[[#This Row],[UNSPC category]],data!A:F,6,FALSE)</f>
        <v>Goods</v>
      </c>
      <c r="D3" s="1">
        <v>10151600</v>
      </c>
      <c r="E3" s="1" t="s">
        <v>83</v>
      </c>
      <c r="F3" s="1" t="s">
        <v>115</v>
      </c>
      <c r="G3" s="1" t="s">
        <v>1</v>
      </c>
      <c r="H3" s="1">
        <v>3.625</v>
      </c>
      <c r="I3" s="1">
        <v>3.6666666665533194</v>
      </c>
      <c r="J3" s="1">
        <v>1.6891876031204889</v>
      </c>
      <c r="K3" s="1">
        <v>18623574.606114328</v>
      </c>
      <c r="L3" t="s">
        <v>70</v>
      </c>
    </row>
    <row r="4" spans="1:12" x14ac:dyDescent="0.25">
      <c r="A4" s="1" t="s">
        <v>82</v>
      </c>
      <c r="B4" s="1" t="s">
        <v>17</v>
      </c>
      <c r="C4" s="1" t="str">
        <f>VLOOKUP(Table2[[#This Row],[UNSPC category]],data!A:F,6,FALSE)</f>
        <v>Goods</v>
      </c>
      <c r="D4" s="1">
        <v>10120000</v>
      </c>
      <c r="E4" s="1" t="s">
        <v>81</v>
      </c>
      <c r="F4" s="1" t="s">
        <v>116</v>
      </c>
      <c r="G4" s="1" t="s">
        <v>117</v>
      </c>
      <c r="H4" s="1">
        <v>3.5</v>
      </c>
      <c r="I4" s="1">
        <v>2.3333333332599899</v>
      </c>
      <c r="J4" s="1">
        <v>2.4995751211365325</v>
      </c>
      <c r="K4" s="1">
        <v>17520852.248989221</v>
      </c>
      <c r="L4" t="s">
        <v>70</v>
      </c>
    </row>
    <row r="5" spans="1:12" x14ac:dyDescent="0.25">
      <c r="A5" s="1" t="s">
        <v>69</v>
      </c>
      <c r="B5" s="1" t="s">
        <v>41</v>
      </c>
      <c r="C5" s="1" t="str">
        <f>VLOOKUP(Table2[[#This Row],[UNSPC category]],data!A:F,6,FALSE)</f>
        <v>Services</v>
      </c>
      <c r="D5" s="1">
        <v>90000000</v>
      </c>
      <c r="E5" s="1" t="s">
        <v>84</v>
      </c>
      <c r="F5" s="1" t="s">
        <v>118</v>
      </c>
      <c r="G5" s="1" t="s">
        <v>119</v>
      </c>
      <c r="H5" s="1">
        <v>1.75</v>
      </c>
      <c r="I5" s="1">
        <v>2.6666666665899896</v>
      </c>
      <c r="J5" s="1">
        <v>1.405245634729948</v>
      </c>
      <c r="K5" s="1">
        <v>16133845.090849256</v>
      </c>
      <c r="L5" t="s">
        <v>69</v>
      </c>
    </row>
    <row r="6" spans="1:12" x14ac:dyDescent="0.25">
      <c r="A6" s="1" t="s">
        <v>82</v>
      </c>
      <c r="B6" s="1" t="s">
        <v>63</v>
      </c>
      <c r="C6" s="1" t="str">
        <f>VLOOKUP(Table2[[#This Row],[UNSPC category]],data!A:F,6,FALSE)</f>
        <v>Goods</v>
      </c>
      <c r="D6" s="1">
        <v>10151500</v>
      </c>
      <c r="E6" s="1" t="s">
        <v>83</v>
      </c>
      <c r="F6" s="1" t="s">
        <v>115</v>
      </c>
      <c r="G6" s="1" t="s">
        <v>1</v>
      </c>
      <c r="H6" s="1">
        <v>3.5</v>
      </c>
      <c r="I6" s="1">
        <v>3.5555555554433198</v>
      </c>
      <c r="J6" s="1">
        <v>1.9325064124711611</v>
      </c>
      <c r="K6" s="1">
        <v>16116850.088985711</v>
      </c>
      <c r="L6" t="s">
        <v>70</v>
      </c>
    </row>
    <row r="7" spans="1:12" x14ac:dyDescent="0.25">
      <c r="A7" s="1" t="s">
        <v>69</v>
      </c>
      <c r="B7" s="1" t="s">
        <v>35</v>
      </c>
      <c r="C7" s="1" t="str">
        <f>VLOOKUP(Table2[[#This Row],[UNSPC category]],data!A:F,6,FALSE)</f>
        <v>Services</v>
      </c>
      <c r="D7" s="1">
        <v>78100000</v>
      </c>
      <c r="E7" s="1" t="s">
        <v>81</v>
      </c>
      <c r="F7" s="1" t="s">
        <v>118</v>
      </c>
      <c r="G7" s="1" t="s">
        <v>119</v>
      </c>
      <c r="H7" s="1">
        <v>2</v>
      </c>
      <c r="I7" s="1">
        <v>2.3333333332933197</v>
      </c>
      <c r="J7" s="1">
        <v>1.4069945232706893</v>
      </c>
      <c r="K7" s="1">
        <v>14212776.760933617</v>
      </c>
      <c r="L7" t="s">
        <v>69</v>
      </c>
    </row>
    <row r="8" spans="1:12" x14ac:dyDescent="0.25">
      <c r="A8" s="1" t="s">
        <v>85</v>
      </c>
      <c r="B8" s="1" t="s">
        <v>23</v>
      </c>
      <c r="C8" s="1" t="str">
        <f>VLOOKUP(Table2[[#This Row],[UNSPC category]],data!A:F,6,FALSE)</f>
        <v>Goods</v>
      </c>
      <c r="D8" s="1">
        <v>25100000</v>
      </c>
      <c r="E8" s="1" t="s">
        <v>81</v>
      </c>
      <c r="F8" s="1" t="s">
        <v>120</v>
      </c>
      <c r="G8" s="1" t="s">
        <v>121</v>
      </c>
      <c r="H8" s="1">
        <v>2</v>
      </c>
      <c r="I8" s="1">
        <v>1.99999999992666</v>
      </c>
      <c r="J8" s="1">
        <v>1.771592331282787</v>
      </c>
      <c r="K8" s="1">
        <v>13014007.315411536</v>
      </c>
      <c r="L8" t="s">
        <v>70</v>
      </c>
    </row>
    <row r="9" spans="1:12" x14ac:dyDescent="0.25">
      <c r="A9" s="1" t="s">
        <v>69</v>
      </c>
      <c r="B9" s="1" t="s">
        <v>58</v>
      </c>
      <c r="C9" s="1" t="str">
        <f>VLOOKUP(Table2[[#This Row],[UNSPC category]],data!A:F,6,FALSE)</f>
        <v>Services</v>
      </c>
      <c r="D9" s="1">
        <v>70141600</v>
      </c>
      <c r="E9" s="1" t="s">
        <v>83</v>
      </c>
      <c r="F9" s="1" t="s">
        <v>115</v>
      </c>
      <c r="G9" s="1" t="s">
        <v>1</v>
      </c>
      <c r="H9" s="1">
        <v>3.5</v>
      </c>
      <c r="I9" s="1">
        <v>3.3333333332233197</v>
      </c>
      <c r="J9" s="1">
        <v>0.73096153700220645</v>
      </c>
      <c r="K9" s="1">
        <v>12728663.593409706</v>
      </c>
      <c r="L9" t="s">
        <v>69</v>
      </c>
    </row>
    <row r="10" spans="1:12" x14ac:dyDescent="0.25">
      <c r="A10" s="1" t="s">
        <v>69</v>
      </c>
      <c r="B10" s="1" t="s">
        <v>21</v>
      </c>
      <c r="C10" s="1" t="str">
        <f>VLOOKUP(Table2[[#This Row],[UNSPC category]],data!A:F,6,FALSE)</f>
        <v>Services</v>
      </c>
      <c r="D10" s="1">
        <v>72100000</v>
      </c>
      <c r="E10" s="1" t="s">
        <v>81</v>
      </c>
      <c r="F10" s="1" t="s">
        <v>122</v>
      </c>
      <c r="G10" s="1" t="s">
        <v>123</v>
      </c>
      <c r="H10" s="1">
        <v>1.5</v>
      </c>
      <c r="I10" s="1">
        <v>1.99999999992666</v>
      </c>
      <c r="J10" s="1">
        <v>2.7432466584728257</v>
      </c>
      <c r="K10" s="1">
        <v>11904955.153627452</v>
      </c>
      <c r="L10" t="s">
        <v>69</v>
      </c>
    </row>
    <row r="11" spans="1:12" x14ac:dyDescent="0.25">
      <c r="A11" s="1" t="s">
        <v>86</v>
      </c>
      <c r="B11" s="1" t="s">
        <v>87</v>
      </c>
      <c r="C11" s="1" t="s">
        <v>70</v>
      </c>
      <c r="D11" s="1">
        <v>51200000</v>
      </c>
      <c r="E11" s="1" t="s">
        <v>81</v>
      </c>
      <c r="F11" s="1" t="s">
        <v>116</v>
      </c>
      <c r="G11" s="1" t="s">
        <v>117</v>
      </c>
      <c r="H11" s="1">
        <v>3.25</v>
      </c>
      <c r="I11" s="1">
        <v>2.6666666666233199</v>
      </c>
      <c r="J11" s="1">
        <v>2.4021571404957962</v>
      </c>
      <c r="K11" s="1">
        <v>11010460.731397297</v>
      </c>
      <c r="L11" t="s">
        <v>70</v>
      </c>
    </row>
    <row r="12" spans="1:12" x14ac:dyDescent="0.25">
      <c r="A12" s="1" t="s">
        <v>85</v>
      </c>
      <c r="B12" s="1" t="s">
        <v>14</v>
      </c>
      <c r="C12" s="1" t="str">
        <f>VLOOKUP(Table2[[#This Row],[UNSPC category]],data!A:F,6,FALSE)</f>
        <v>Goods</v>
      </c>
      <c r="D12" s="1">
        <v>27110000</v>
      </c>
      <c r="E12" s="1" t="s">
        <v>81</v>
      </c>
      <c r="F12" s="1" t="s">
        <v>124</v>
      </c>
      <c r="G12" s="1" t="s">
        <v>125</v>
      </c>
      <c r="H12" s="1">
        <v>3.5</v>
      </c>
      <c r="I12" s="1">
        <v>1.3333333332966599</v>
      </c>
      <c r="J12" s="1">
        <v>1.725718201566899</v>
      </c>
      <c r="K12" s="1">
        <v>10944339.353946239</v>
      </c>
      <c r="L12" t="s">
        <v>70</v>
      </c>
    </row>
    <row r="13" spans="1:12" x14ac:dyDescent="0.25">
      <c r="A13" s="1" t="s">
        <v>86</v>
      </c>
      <c r="B13" s="1" t="s">
        <v>25</v>
      </c>
      <c r="C13" s="1" t="str">
        <f>VLOOKUP(Table2[[#This Row],[UNSPC category]],data!A:F,6,FALSE)</f>
        <v>Goods</v>
      </c>
      <c r="D13" s="1">
        <v>43210000</v>
      </c>
      <c r="E13" s="1" t="s">
        <v>81</v>
      </c>
      <c r="F13" s="1" t="s">
        <v>113</v>
      </c>
      <c r="G13" s="1" t="s">
        <v>114</v>
      </c>
      <c r="H13" s="1">
        <v>3.5</v>
      </c>
      <c r="I13" s="1">
        <v>1.99999999992666</v>
      </c>
      <c r="J13" s="1">
        <v>2.2419466262253405</v>
      </c>
      <c r="K13" s="1">
        <v>8695504.6652954761</v>
      </c>
      <c r="L13" t="s">
        <v>70</v>
      </c>
    </row>
    <row r="14" spans="1:12" x14ac:dyDescent="0.25">
      <c r="A14" s="1" t="s">
        <v>69</v>
      </c>
      <c r="B14" s="1" t="s">
        <v>18</v>
      </c>
      <c r="C14" s="1" t="str">
        <f>VLOOKUP(Table2[[#This Row],[UNSPC category]],data!A:F,6,FALSE)</f>
        <v>Services</v>
      </c>
      <c r="D14" s="1">
        <v>80131500</v>
      </c>
      <c r="E14" s="1" t="s">
        <v>83</v>
      </c>
      <c r="F14" s="1" t="s">
        <v>120</v>
      </c>
      <c r="G14" s="1" t="s">
        <v>121</v>
      </c>
      <c r="H14" s="1">
        <v>0.25</v>
      </c>
      <c r="I14" s="1">
        <v>1.6666666665966599</v>
      </c>
      <c r="J14" s="1">
        <v>1.4269785273758702</v>
      </c>
      <c r="K14" s="1">
        <v>8219573.0210963441</v>
      </c>
      <c r="L14" t="s">
        <v>69</v>
      </c>
    </row>
    <row r="15" spans="1:12" x14ac:dyDescent="0.25">
      <c r="A15" s="1" t="s">
        <v>69</v>
      </c>
      <c r="B15" s="1" t="s">
        <v>88</v>
      </c>
      <c r="C15" s="1" t="s">
        <v>69</v>
      </c>
      <c r="D15" s="1">
        <v>70171710</v>
      </c>
      <c r="E15" s="1" t="s">
        <v>89</v>
      </c>
      <c r="F15" s="1" t="s">
        <v>126</v>
      </c>
      <c r="G15" s="1" t="s">
        <v>126</v>
      </c>
      <c r="H15" s="1" t="s">
        <v>126</v>
      </c>
      <c r="I15" s="1" t="s">
        <v>126</v>
      </c>
      <c r="J15" s="1" t="s">
        <v>126</v>
      </c>
      <c r="K15" s="1">
        <v>8022215.9605957819</v>
      </c>
      <c r="L15" t="s">
        <v>69</v>
      </c>
    </row>
    <row r="16" spans="1:12" x14ac:dyDescent="0.25">
      <c r="A16" s="1" t="s">
        <v>82</v>
      </c>
      <c r="B16" s="1" t="s">
        <v>36</v>
      </c>
      <c r="C16" s="1" t="str">
        <f>VLOOKUP(Table2[[#This Row],[UNSPC category]],data!A:F,6,FALSE)</f>
        <v>Goods</v>
      </c>
      <c r="D16" s="1">
        <v>10171600</v>
      </c>
      <c r="E16" s="1" t="s">
        <v>83</v>
      </c>
      <c r="F16" s="1" t="s">
        <v>115</v>
      </c>
      <c r="G16" s="1" t="s">
        <v>1</v>
      </c>
      <c r="H16" s="1">
        <v>3.125</v>
      </c>
      <c r="I16" s="1">
        <v>2.3333333333083197</v>
      </c>
      <c r="J16" s="1">
        <v>1.5268146291586988</v>
      </c>
      <c r="K16" s="1">
        <v>7826626.5549953235</v>
      </c>
      <c r="L16" t="s">
        <v>70</v>
      </c>
    </row>
    <row r="17" spans="1:12" x14ac:dyDescent="0.25">
      <c r="A17" s="1" t="s">
        <v>69</v>
      </c>
      <c r="B17" s="1" t="s">
        <v>29</v>
      </c>
      <c r="C17" s="1" t="str">
        <f>VLOOKUP(Table2[[#This Row],[UNSPC category]],data!A:F,6,FALSE)</f>
        <v>Services</v>
      </c>
      <c r="D17" s="1">
        <v>86100000</v>
      </c>
      <c r="E17" s="1" t="s">
        <v>81</v>
      </c>
      <c r="F17" s="1" t="s">
        <v>115</v>
      </c>
      <c r="G17" s="1" t="s">
        <v>1</v>
      </c>
      <c r="H17" s="1">
        <v>3.25</v>
      </c>
      <c r="I17" s="1">
        <v>2.3333333332266597</v>
      </c>
      <c r="J17" s="1">
        <v>1.8464022577177377</v>
      </c>
      <c r="K17" s="1">
        <v>6311472.8480173638</v>
      </c>
      <c r="L17" t="s">
        <v>69</v>
      </c>
    </row>
    <row r="18" spans="1:12" x14ac:dyDescent="0.25">
      <c r="A18" s="1" t="s">
        <v>85</v>
      </c>
      <c r="B18" s="1" t="s">
        <v>90</v>
      </c>
      <c r="C18" s="1" t="s">
        <v>70</v>
      </c>
      <c r="D18" s="1">
        <v>21110000</v>
      </c>
      <c r="E18" s="1" t="s">
        <v>81</v>
      </c>
      <c r="F18" s="1" t="s">
        <v>116</v>
      </c>
      <c r="G18" s="1" t="s">
        <v>117</v>
      </c>
      <c r="H18" s="1">
        <v>4</v>
      </c>
      <c r="I18" s="1">
        <v>2.9999999998899902</v>
      </c>
      <c r="J18" s="1">
        <v>2.0372789019881758</v>
      </c>
      <c r="K18" s="1">
        <v>5276061.9579588119</v>
      </c>
      <c r="L18" t="s">
        <v>70</v>
      </c>
    </row>
    <row r="19" spans="1:12" x14ac:dyDescent="0.25">
      <c r="A19" s="1" t="s">
        <v>69</v>
      </c>
      <c r="B19" s="1" t="s">
        <v>32</v>
      </c>
      <c r="C19" s="1" t="str">
        <f>VLOOKUP(Table2[[#This Row],[UNSPC category]],data!A:F,6,FALSE)</f>
        <v>Services</v>
      </c>
      <c r="D19" s="1">
        <v>72121200</v>
      </c>
      <c r="E19" s="1" t="s">
        <v>83</v>
      </c>
      <c r="F19" s="1" t="s">
        <v>116</v>
      </c>
      <c r="G19" s="1" t="s">
        <v>117</v>
      </c>
      <c r="H19" s="1">
        <v>2.25</v>
      </c>
      <c r="I19" s="1">
        <v>2.3333333332599899</v>
      </c>
      <c r="J19" s="1">
        <v>2.0603582485906262</v>
      </c>
      <c r="K19" s="1">
        <v>5114924.9050515871</v>
      </c>
      <c r="L19" t="s">
        <v>69</v>
      </c>
    </row>
    <row r="20" spans="1:12" x14ac:dyDescent="0.25">
      <c r="A20" s="1" t="s">
        <v>82</v>
      </c>
      <c r="B20" s="1" t="s">
        <v>91</v>
      </c>
      <c r="C20" s="1" t="s">
        <v>70</v>
      </c>
      <c r="D20" s="1">
        <v>10191500</v>
      </c>
      <c r="E20" s="1" t="s">
        <v>83</v>
      </c>
      <c r="F20" s="1" t="s">
        <v>115</v>
      </c>
      <c r="G20" s="1" t="s">
        <v>1</v>
      </c>
      <c r="H20" s="1">
        <v>3.25</v>
      </c>
      <c r="I20" s="1">
        <v>2.6666666665599896</v>
      </c>
      <c r="J20" s="1">
        <v>1.7268845200562417</v>
      </c>
      <c r="K20" s="1">
        <v>4846180.7909641024</v>
      </c>
      <c r="L20" t="s">
        <v>70</v>
      </c>
    </row>
    <row r="21" spans="1:12" x14ac:dyDescent="0.25">
      <c r="A21" s="1" t="s">
        <v>86</v>
      </c>
      <c r="B21" s="1" t="s">
        <v>92</v>
      </c>
      <c r="C21" s="1" t="s">
        <v>70</v>
      </c>
      <c r="D21" s="1">
        <v>42120000</v>
      </c>
      <c r="E21" s="1" t="s">
        <v>81</v>
      </c>
      <c r="F21" s="1" t="s">
        <v>116</v>
      </c>
      <c r="G21" s="1" t="s">
        <v>117</v>
      </c>
      <c r="H21" s="1">
        <v>3.75</v>
      </c>
      <c r="I21" s="1">
        <v>2.3333333332933197</v>
      </c>
      <c r="J21" s="1">
        <v>2.1787052608619049</v>
      </c>
      <c r="K21" s="1">
        <v>4577672.434685681</v>
      </c>
      <c r="L21" t="s">
        <v>70</v>
      </c>
    </row>
    <row r="22" spans="1:12" x14ac:dyDescent="0.25">
      <c r="A22" s="1" t="s">
        <v>82</v>
      </c>
      <c r="B22" s="1" t="s">
        <v>8</v>
      </c>
      <c r="C22" s="1" t="str">
        <f>VLOOKUP(Table2[[#This Row],[UNSPC category]],data!A:F,6,FALSE)</f>
        <v>Goods</v>
      </c>
      <c r="D22" s="1">
        <v>10101500</v>
      </c>
      <c r="E22" s="1" t="s">
        <v>83</v>
      </c>
      <c r="F22" s="1" t="s">
        <v>113</v>
      </c>
      <c r="G22" s="1" t="s">
        <v>114</v>
      </c>
      <c r="H22" s="1">
        <v>3.75</v>
      </c>
      <c r="I22" s="1">
        <v>1.6666666666299901</v>
      </c>
      <c r="J22" s="1">
        <v>2.4627718592001231</v>
      </c>
      <c r="K22" s="1">
        <v>4437062.872373173</v>
      </c>
      <c r="L22" t="s">
        <v>70</v>
      </c>
    </row>
    <row r="23" spans="1:12" x14ac:dyDescent="0.25">
      <c r="A23" s="1" t="s">
        <v>82</v>
      </c>
      <c r="B23" s="1" t="s">
        <v>10</v>
      </c>
      <c r="C23" s="1" t="str">
        <f>VLOOKUP(Table2[[#This Row],[UNSPC category]],data!A:F,6,FALSE)</f>
        <v>Goods</v>
      </c>
      <c r="D23" s="1">
        <v>10171500</v>
      </c>
      <c r="E23" s="1" t="s">
        <v>83</v>
      </c>
      <c r="F23" s="1" t="s">
        <v>113</v>
      </c>
      <c r="G23" s="1" t="s">
        <v>114</v>
      </c>
      <c r="H23" s="1">
        <v>2.625</v>
      </c>
      <c r="I23" s="1">
        <v>1.3333333332783299</v>
      </c>
      <c r="J23" s="1">
        <v>2.4253130567436338</v>
      </c>
      <c r="K23" s="1">
        <v>4302772.1610903926</v>
      </c>
      <c r="L23" t="s">
        <v>70</v>
      </c>
    </row>
    <row r="24" spans="1:12" x14ac:dyDescent="0.25">
      <c r="A24" s="1" t="s">
        <v>86</v>
      </c>
      <c r="B24" s="1" t="s">
        <v>26</v>
      </c>
      <c r="C24" s="1" t="str">
        <f>VLOOKUP(Table2[[#This Row],[UNSPC category]],data!A:F,6,FALSE)</f>
        <v>Goods</v>
      </c>
      <c r="D24" s="1">
        <v>43230000</v>
      </c>
      <c r="E24" s="1" t="s">
        <v>81</v>
      </c>
      <c r="F24" s="1" t="s">
        <v>113</v>
      </c>
      <c r="G24" s="1" t="s">
        <v>114</v>
      </c>
      <c r="H24" s="1">
        <v>3.5</v>
      </c>
      <c r="I24" s="1">
        <v>1.99999999992666</v>
      </c>
      <c r="J24" s="1">
        <v>2.4002822369739585</v>
      </c>
      <c r="K24" s="1">
        <v>4234569.4565470126</v>
      </c>
      <c r="L24" t="s">
        <v>70</v>
      </c>
    </row>
    <row r="25" spans="1:12" x14ac:dyDescent="0.25">
      <c r="A25" s="1" t="s">
        <v>86</v>
      </c>
      <c r="B25" s="1" t="s">
        <v>40</v>
      </c>
      <c r="C25" s="1" t="str">
        <f>VLOOKUP(Table2[[#This Row],[UNSPC category]],data!A:F,6,FALSE)</f>
        <v>Goods</v>
      </c>
      <c r="D25" s="1">
        <v>44000000</v>
      </c>
      <c r="E25" s="1" t="s">
        <v>84</v>
      </c>
      <c r="F25" s="1" t="s">
        <v>127</v>
      </c>
      <c r="G25" s="1" t="s">
        <v>128</v>
      </c>
      <c r="H25" s="1">
        <v>0.75</v>
      </c>
      <c r="I25" s="1">
        <v>2.6666666665899896</v>
      </c>
      <c r="J25" s="1">
        <v>2.6870892497379417</v>
      </c>
      <c r="K25" s="1">
        <v>4094666.7919076323</v>
      </c>
      <c r="L25" t="s">
        <v>70</v>
      </c>
    </row>
    <row r="26" spans="1:12" x14ac:dyDescent="0.25">
      <c r="A26" s="1" t="s">
        <v>69</v>
      </c>
      <c r="B26" s="1" t="s">
        <v>46</v>
      </c>
      <c r="C26" s="1" t="str">
        <f>VLOOKUP(Table2[[#This Row],[UNSPC category]],data!A:F,6,FALSE)</f>
        <v>Services</v>
      </c>
      <c r="D26" s="1">
        <v>72121100</v>
      </c>
      <c r="E26" s="1" t="s">
        <v>83</v>
      </c>
      <c r="F26" s="1" t="s">
        <v>116</v>
      </c>
      <c r="G26" s="1" t="s">
        <v>117</v>
      </c>
      <c r="H26" s="1">
        <v>2.25</v>
      </c>
      <c r="I26" s="1">
        <v>2.9999999998899902</v>
      </c>
      <c r="J26" s="1">
        <v>2.7081050452173967</v>
      </c>
      <c r="K26" s="1">
        <v>4067287.9458776945</v>
      </c>
      <c r="L26" t="s">
        <v>69</v>
      </c>
    </row>
    <row r="27" spans="1:12" x14ac:dyDescent="0.25">
      <c r="A27" s="1" t="s">
        <v>69</v>
      </c>
      <c r="B27" s="1" t="s">
        <v>49</v>
      </c>
      <c r="C27" s="1" t="str">
        <f>VLOOKUP(Table2[[#This Row],[UNSPC category]],data!A:F,6,FALSE)</f>
        <v>Services</v>
      </c>
      <c r="D27" s="1">
        <v>78140000</v>
      </c>
      <c r="E27" s="1" t="s">
        <v>81</v>
      </c>
      <c r="F27" s="1" t="s">
        <v>127</v>
      </c>
      <c r="G27" s="1" t="s">
        <v>128</v>
      </c>
      <c r="H27" s="1">
        <v>2</v>
      </c>
      <c r="I27" s="1">
        <v>3.1666666665583199</v>
      </c>
      <c r="J27" s="1">
        <v>2.1473419577141031</v>
      </c>
      <c r="K27" s="1">
        <v>4061136.7744126841</v>
      </c>
      <c r="L27" t="s">
        <v>69</v>
      </c>
    </row>
    <row r="28" spans="1:12" x14ac:dyDescent="0.25">
      <c r="A28" s="1" t="s">
        <v>69</v>
      </c>
      <c r="B28" s="1" t="s">
        <v>93</v>
      </c>
      <c r="C28" s="1" t="s">
        <v>69</v>
      </c>
      <c r="D28" s="1">
        <v>86000000</v>
      </c>
      <c r="E28" s="1" t="s">
        <v>84</v>
      </c>
      <c r="F28" s="1" t="s">
        <v>126</v>
      </c>
      <c r="G28" s="1" t="s">
        <v>126</v>
      </c>
      <c r="H28" s="1" t="s">
        <v>126</v>
      </c>
      <c r="I28" s="1" t="s">
        <v>126</v>
      </c>
      <c r="J28" s="1" t="s">
        <v>126</v>
      </c>
      <c r="K28" s="1">
        <v>3545658.8003694899</v>
      </c>
      <c r="L28" t="s">
        <v>69</v>
      </c>
    </row>
    <row r="29" spans="1:12" x14ac:dyDescent="0.25">
      <c r="A29" s="1" t="s">
        <v>94</v>
      </c>
      <c r="B29" s="1" t="s">
        <v>55</v>
      </c>
      <c r="C29" s="1" t="str">
        <f>VLOOKUP(Table2[[#This Row],[UNSPC category]],data!A:F,6,FALSE)</f>
        <v>Goods</v>
      </c>
      <c r="D29" s="1">
        <v>41100000</v>
      </c>
      <c r="E29" s="1" t="s">
        <v>81</v>
      </c>
      <c r="F29" s="1" t="s">
        <v>116</v>
      </c>
      <c r="G29" s="1" t="s">
        <v>117</v>
      </c>
      <c r="H29" s="1">
        <v>3.25</v>
      </c>
      <c r="I29" s="1">
        <v>3.3333333332233197</v>
      </c>
      <c r="J29" s="1">
        <v>2.4090116441472373</v>
      </c>
      <c r="K29" s="1">
        <v>3240661.578787406</v>
      </c>
      <c r="L29" t="s">
        <v>70</v>
      </c>
    </row>
    <row r="30" spans="1:12" x14ac:dyDescent="0.25">
      <c r="A30" s="1" t="s">
        <v>69</v>
      </c>
      <c r="B30" s="1" t="s">
        <v>6</v>
      </c>
      <c r="C30" s="1" t="str">
        <f>VLOOKUP(Table2[[#This Row],[UNSPC category]],data!A:F,6,FALSE)</f>
        <v>Services</v>
      </c>
      <c r="D30" s="1">
        <v>82121500</v>
      </c>
      <c r="E30" s="1" t="s">
        <v>83</v>
      </c>
      <c r="F30" s="1" t="s">
        <v>120</v>
      </c>
      <c r="G30" s="1" t="s">
        <v>121</v>
      </c>
      <c r="H30" s="1">
        <v>0.25</v>
      </c>
      <c r="I30" s="1">
        <v>0.33333333333332998</v>
      </c>
      <c r="J30" s="1">
        <v>1.1852295753357172</v>
      </c>
      <c r="K30" s="1">
        <v>2964699.53970335</v>
      </c>
      <c r="L30" t="s">
        <v>69</v>
      </c>
    </row>
    <row r="31" spans="1:12" x14ac:dyDescent="0.25">
      <c r="A31" s="1" t="s">
        <v>85</v>
      </c>
      <c r="B31" s="1" t="s">
        <v>16</v>
      </c>
      <c r="C31" s="1" t="str">
        <f>VLOOKUP(Table2[[#This Row],[UNSPC category]],data!A:F,6,FALSE)</f>
        <v>Goods</v>
      </c>
      <c r="D31" s="1">
        <v>21101800</v>
      </c>
      <c r="E31" s="1" t="s">
        <v>83</v>
      </c>
      <c r="F31" s="1" t="s">
        <v>113</v>
      </c>
      <c r="G31" s="1" t="s">
        <v>114</v>
      </c>
      <c r="H31" s="1">
        <v>3</v>
      </c>
      <c r="I31" s="1">
        <v>1.6666666665933298</v>
      </c>
      <c r="J31" s="1">
        <v>2.2993018758712651</v>
      </c>
      <c r="K31" s="1">
        <v>2846050.0621576393</v>
      </c>
      <c r="L31" t="s">
        <v>70</v>
      </c>
    </row>
    <row r="32" spans="1:12" x14ac:dyDescent="0.25">
      <c r="A32" s="1" t="s">
        <v>82</v>
      </c>
      <c r="B32" s="1" t="s">
        <v>66</v>
      </c>
      <c r="C32" s="1" t="str">
        <f>VLOOKUP(Table2[[#This Row],[UNSPC category]],data!A:F,6,FALSE)</f>
        <v>Goods</v>
      </c>
      <c r="D32" s="1">
        <v>10152300</v>
      </c>
      <c r="E32" s="1" t="s">
        <v>83</v>
      </c>
      <c r="F32" s="1" t="s">
        <v>115</v>
      </c>
      <c r="G32" s="1" t="s">
        <v>1</v>
      </c>
      <c r="H32" s="1">
        <v>3.625</v>
      </c>
      <c r="I32" s="1">
        <v>3.6666666665533194</v>
      </c>
      <c r="J32" s="1">
        <v>1.7918851049831694</v>
      </c>
      <c r="K32" s="1">
        <v>2778786.5735496329</v>
      </c>
      <c r="L32" t="s">
        <v>70</v>
      </c>
    </row>
    <row r="33" spans="1:12" x14ac:dyDescent="0.25">
      <c r="A33" s="1" t="s">
        <v>69</v>
      </c>
      <c r="B33" s="1" t="s">
        <v>68</v>
      </c>
      <c r="C33" s="1" t="str">
        <f>VLOOKUP(Table2[[#This Row],[UNSPC category]],data!A:F,6,FALSE)</f>
        <v>Services</v>
      </c>
      <c r="D33" s="1">
        <v>83100000</v>
      </c>
      <c r="E33" s="1" t="s">
        <v>81</v>
      </c>
      <c r="F33" s="1" t="s">
        <v>116</v>
      </c>
      <c r="G33" s="1" t="s">
        <v>117</v>
      </c>
      <c r="H33" s="1">
        <v>2.5</v>
      </c>
      <c r="I33" s="1">
        <v>3.99999999985332</v>
      </c>
      <c r="J33" s="1">
        <v>2.1709510825956748</v>
      </c>
      <c r="K33" s="1">
        <v>2630346.1447539879</v>
      </c>
      <c r="L33" t="s">
        <v>69</v>
      </c>
    </row>
    <row r="34" spans="1:12" x14ac:dyDescent="0.25">
      <c r="A34" s="1" t="s">
        <v>69</v>
      </c>
      <c r="B34" s="1" t="s">
        <v>50</v>
      </c>
      <c r="C34" s="1" t="str">
        <f>VLOOKUP(Table2[[#This Row],[UNSPC category]],data!A:F,6,FALSE)</f>
        <v>Services</v>
      </c>
      <c r="D34" s="1">
        <v>81141500</v>
      </c>
      <c r="E34" s="1" t="s">
        <v>83</v>
      </c>
      <c r="F34" s="1" t="s">
        <v>115</v>
      </c>
      <c r="G34" s="1" t="s">
        <v>1</v>
      </c>
      <c r="H34" s="1">
        <v>2.625</v>
      </c>
      <c r="I34" s="1">
        <v>3.1666666665583199</v>
      </c>
      <c r="J34" s="1">
        <v>1.1944824766642217</v>
      </c>
      <c r="K34" s="1">
        <v>2435380.6971863443</v>
      </c>
      <c r="L34" t="s">
        <v>69</v>
      </c>
    </row>
    <row r="35" spans="1:12" x14ac:dyDescent="0.25">
      <c r="A35" s="1" t="s">
        <v>69</v>
      </c>
      <c r="B35" s="1" t="s">
        <v>19</v>
      </c>
      <c r="C35" s="1" t="str">
        <f>VLOOKUP(Table2[[#This Row],[UNSPC category]],data!A:F,6,FALSE)</f>
        <v>Services</v>
      </c>
      <c r="D35" s="1">
        <v>78111808</v>
      </c>
      <c r="E35" s="1" t="s">
        <v>89</v>
      </c>
      <c r="F35" s="1" t="s">
        <v>120</v>
      </c>
      <c r="G35" s="1" t="s">
        <v>121</v>
      </c>
      <c r="H35" s="1">
        <v>0.5</v>
      </c>
      <c r="I35" s="1">
        <v>1.6666666666266599</v>
      </c>
      <c r="J35" s="1">
        <v>1.5074300301281167</v>
      </c>
      <c r="K35" s="1">
        <v>2097341.941881537</v>
      </c>
      <c r="L35" t="s">
        <v>69</v>
      </c>
    </row>
    <row r="36" spans="1:12" x14ac:dyDescent="0.25">
      <c r="A36" s="1" t="s">
        <v>85</v>
      </c>
      <c r="B36" s="1" t="s">
        <v>15</v>
      </c>
      <c r="C36" s="1" t="str">
        <f>VLOOKUP(Table2[[#This Row],[UNSPC category]],data!A:F,6,FALSE)</f>
        <v>Goods</v>
      </c>
      <c r="D36" s="1">
        <v>21101900</v>
      </c>
      <c r="E36" s="1" t="s">
        <v>83</v>
      </c>
      <c r="F36" s="1" t="s">
        <v>113</v>
      </c>
      <c r="G36" s="1" t="s">
        <v>114</v>
      </c>
      <c r="H36" s="1">
        <v>2.5</v>
      </c>
      <c r="I36" s="1">
        <v>1.6666666665933298</v>
      </c>
      <c r="J36" s="1">
        <v>2.2500634145183356</v>
      </c>
      <c r="K36" s="1">
        <v>2074762.965381284</v>
      </c>
      <c r="L36" t="s">
        <v>70</v>
      </c>
    </row>
    <row r="37" spans="1:12" x14ac:dyDescent="0.25">
      <c r="A37" s="1" t="s">
        <v>69</v>
      </c>
      <c r="B37" s="1" t="s">
        <v>20</v>
      </c>
      <c r="C37" s="1" t="str">
        <f>VLOOKUP(Table2[[#This Row],[UNSPC category]],data!A:F,6,FALSE)</f>
        <v>Services</v>
      </c>
      <c r="D37" s="1">
        <v>78181500</v>
      </c>
      <c r="E37" s="1" t="s">
        <v>83</v>
      </c>
      <c r="F37" s="1" t="s">
        <v>120</v>
      </c>
      <c r="G37" s="1" t="s">
        <v>121</v>
      </c>
      <c r="H37" s="1">
        <v>0.5</v>
      </c>
      <c r="I37" s="1">
        <v>1.99999999992666</v>
      </c>
      <c r="J37" s="1">
        <v>1.1542043385281096</v>
      </c>
      <c r="K37" s="1">
        <v>1970319.5995661386</v>
      </c>
      <c r="L37" t="s">
        <v>69</v>
      </c>
    </row>
    <row r="38" spans="1:12" x14ac:dyDescent="0.25">
      <c r="A38" s="1" t="s">
        <v>69</v>
      </c>
      <c r="B38" s="1" t="s">
        <v>54</v>
      </c>
      <c r="C38" s="1" t="str">
        <f>VLOOKUP(Table2[[#This Row],[UNSPC category]],data!A:F,6,FALSE)</f>
        <v>Services</v>
      </c>
      <c r="D38" s="1">
        <v>76120000</v>
      </c>
      <c r="E38" s="1" t="s">
        <v>81</v>
      </c>
      <c r="F38" s="1" t="s">
        <v>116</v>
      </c>
      <c r="G38" s="1" t="s">
        <v>117</v>
      </c>
      <c r="H38" s="1">
        <v>3</v>
      </c>
      <c r="I38" s="1">
        <v>3.3333333332199899</v>
      </c>
      <c r="J38" s="1">
        <v>2.1519912257503369</v>
      </c>
      <c r="K38" s="1">
        <v>1877474.5647714906</v>
      </c>
      <c r="L38" t="s">
        <v>69</v>
      </c>
    </row>
    <row r="39" spans="1:12" x14ac:dyDescent="0.25">
      <c r="A39" s="1" t="s">
        <v>69</v>
      </c>
      <c r="B39" s="1" t="s">
        <v>38</v>
      </c>
      <c r="C39" s="1" t="str">
        <f>VLOOKUP(Table2[[#This Row],[UNSPC category]],data!A:F,6,FALSE)</f>
        <v>Services</v>
      </c>
      <c r="D39" s="1">
        <v>93141900</v>
      </c>
      <c r="E39" s="1" t="s">
        <v>83</v>
      </c>
      <c r="F39" s="1" t="s">
        <v>116</v>
      </c>
      <c r="G39" s="1" t="s">
        <v>117</v>
      </c>
      <c r="H39" s="1">
        <v>4</v>
      </c>
      <c r="I39" s="1">
        <v>2.6666666665599896</v>
      </c>
      <c r="J39" s="1">
        <v>2.7013250362694086</v>
      </c>
      <c r="K39" s="1">
        <v>1829297.8623500965</v>
      </c>
      <c r="L39" t="s">
        <v>69</v>
      </c>
    </row>
    <row r="40" spans="1:12" x14ac:dyDescent="0.25">
      <c r="A40" s="1" t="s">
        <v>69</v>
      </c>
      <c r="B40" s="1" t="s">
        <v>37</v>
      </c>
      <c r="C40" s="1" t="str">
        <f>VLOOKUP(Table2[[#This Row],[UNSPC category]],data!A:F,6,FALSE)</f>
        <v>Services</v>
      </c>
      <c r="D40" s="1">
        <v>70100000</v>
      </c>
      <c r="E40" s="1" t="s">
        <v>81</v>
      </c>
      <c r="F40" s="1" t="s">
        <v>116</v>
      </c>
      <c r="G40" s="1" t="s">
        <v>117</v>
      </c>
      <c r="H40" s="1">
        <v>3.5</v>
      </c>
      <c r="I40" s="1">
        <v>2.6666666665566598</v>
      </c>
      <c r="J40" s="1">
        <v>2.4995357080058649</v>
      </c>
      <c r="K40" s="1">
        <v>1799943.5239264593</v>
      </c>
      <c r="L40" t="s">
        <v>69</v>
      </c>
    </row>
    <row r="41" spans="1:12" x14ac:dyDescent="0.25">
      <c r="A41" s="1" t="s">
        <v>85</v>
      </c>
      <c r="B41" s="1" t="s">
        <v>43</v>
      </c>
      <c r="C41" s="1" t="str">
        <f>VLOOKUP(Table2[[#This Row],[UNSPC category]],data!A:F,6,FALSE)</f>
        <v>Goods</v>
      </c>
      <c r="D41" s="1">
        <v>21102100</v>
      </c>
      <c r="E41" s="1" t="s">
        <v>83</v>
      </c>
      <c r="F41" s="1" t="s">
        <v>116</v>
      </c>
      <c r="G41" s="1" t="s">
        <v>117</v>
      </c>
      <c r="H41" s="1">
        <v>3.5</v>
      </c>
      <c r="I41" s="1">
        <v>2.6666666665933199</v>
      </c>
      <c r="J41" s="1">
        <v>2.3582127724635695</v>
      </c>
      <c r="K41" s="1">
        <v>1792079.6447336387</v>
      </c>
      <c r="L41" t="s">
        <v>70</v>
      </c>
    </row>
    <row r="42" spans="1:12" x14ac:dyDescent="0.25">
      <c r="A42" s="1" t="s">
        <v>69</v>
      </c>
      <c r="B42" s="1" t="s">
        <v>95</v>
      </c>
      <c r="C42" s="1" t="s">
        <v>69</v>
      </c>
      <c r="D42" s="1">
        <v>83111602</v>
      </c>
      <c r="E42" s="1" t="s">
        <v>89</v>
      </c>
      <c r="F42" s="1" t="s">
        <v>116</v>
      </c>
      <c r="G42" s="1" t="s">
        <v>117</v>
      </c>
      <c r="H42" s="1">
        <v>3</v>
      </c>
      <c r="I42" s="1">
        <v>2.3333333332599899</v>
      </c>
      <c r="J42" s="1">
        <v>2.3589296461229345</v>
      </c>
      <c r="K42" s="1">
        <v>1787719.2687754412</v>
      </c>
      <c r="L42" t="s">
        <v>69</v>
      </c>
    </row>
    <row r="43" spans="1:12" x14ac:dyDescent="0.25">
      <c r="A43" s="1" t="s">
        <v>82</v>
      </c>
      <c r="B43" s="1" t="s">
        <v>7</v>
      </c>
      <c r="C43" s="1" t="str">
        <f>VLOOKUP(Table2[[#This Row],[UNSPC category]],data!A:F,6,FALSE)</f>
        <v>Goods</v>
      </c>
      <c r="D43" s="1">
        <v>10101600</v>
      </c>
      <c r="E43" s="1" t="s">
        <v>83</v>
      </c>
      <c r="F43" s="1" t="s">
        <v>113</v>
      </c>
      <c r="G43" s="1" t="s">
        <v>114</v>
      </c>
      <c r="H43" s="1">
        <v>3.75</v>
      </c>
      <c r="I43" s="1">
        <v>0.99999999996333</v>
      </c>
      <c r="J43" s="1">
        <v>2.5588600335019005</v>
      </c>
      <c r="K43" s="1">
        <v>1768232.7127289318</v>
      </c>
      <c r="L43" t="s">
        <v>70</v>
      </c>
    </row>
    <row r="44" spans="1:12" x14ac:dyDescent="0.25">
      <c r="A44" s="1" t="s">
        <v>69</v>
      </c>
      <c r="B44" s="1" t="s">
        <v>96</v>
      </c>
      <c r="C44" s="1" t="s">
        <v>69</v>
      </c>
      <c r="D44" s="1">
        <v>72152800</v>
      </c>
      <c r="E44" s="1" t="s">
        <v>83</v>
      </c>
      <c r="F44" s="1" t="s">
        <v>126</v>
      </c>
      <c r="G44" s="1" t="s">
        <v>126</v>
      </c>
      <c r="H44" s="1" t="s">
        <v>126</v>
      </c>
      <c r="I44" s="1" t="s">
        <v>126</v>
      </c>
      <c r="J44" s="1" t="s">
        <v>126</v>
      </c>
      <c r="K44" s="1">
        <v>1683972.1082155346</v>
      </c>
      <c r="L44" t="s">
        <v>69</v>
      </c>
    </row>
    <row r="45" spans="1:12" x14ac:dyDescent="0.25">
      <c r="A45" s="1" t="s">
        <v>85</v>
      </c>
      <c r="B45" s="1" t="s">
        <v>53</v>
      </c>
      <c r="C45" s="1" t="str">
        <f>VLOOKUP(Table2[[#This Row],[UNSPC category]],data!A:F,6,FALSE)</f>
        <v>Goods</v>
      </c>
      <c r="D45" s="1">
        <v>21101500</v>
      </c>
      <c r="E45" s="1" t="s">
        <v>83</v>
      </c>
      <c r="F45" s="1" t="s">
        <v>115</v>
      </c>
      <c r="G45" s="1" t="s">
        <v>1</v>
      </c>
      <c r="H45" s="1">
        <v>3.25</v>
      </c>
      <c r="I45" s="1">
        <v>3.3333333331866597</v>
      </c>
      <c r="J45" s="1">
        <v>1.6843765656179661</v>
      </c>
      <c r="K45" s="1">
        <v>1680475.4606148484</v>
      </c>
      <c r="L45" t="s">
        <v>70</v>
      </c>
    </row>
    <row r="46" spans="1:12" x14ac:dyDescent="0.25">
      <c r="A46" s="1" t="s">
        <v>94</v>
      </c>
      <c r="B46" s="1" t="s">
        <v>12</v>
      </c>
      <c r="C46" s="1" t="str">
        <f>VLOOKUP(Table2[[#This Row],[UNSPC category]],data!A:F,6,FALSE)</f>
        <v>Goods</v>
      </c>
      <c r="D46" s="1">
        <v>40150000</v>
      </c>
      <c r="E46" s="1" t="s">
        <v>81</v>
      </c>
      <c r="F46" s="1" t="s">
        <v>113</v>
      </c>
      <c r="G46" s="1" t="s">
        <v>114</v>
      </c>
      <c r="H46" s="1">
        <v>3</v>
      </c>
      <c r="I46" s="1">
        <v>1.3333333332966599</v>
      </c>
      <c r="J46" s="1">
        <v>2.2153417909195756</v>
      </c>
      <c r="K46" s="1">
        <v>1647596.5385217043</v>
      </c>
      <c r="L46" t="s">
        <v>70</v>
      </c>
    </row>
    <row r="47" spans="1:12" x14ac:dyDescent="0.25">
      <c r="A47" s="1" t="s">
        <v>94</v>
      </c>
      <c r="B47" s="1" t="s">
        <v>57</v>
      </c>
      <c r="C47" s="1" t="str">
        <f>VLOOKUP(Table2[[#This Row],[UNSPC category]],data!A:F,6,FALSE)</f>
        <v>Goods</v>
      </c>
      <c r="D47" s="1">
        <v>41110000</v>
      </c>
      <c r="E47" s="1" t="s">
        <v>81</v>
      </c>
      <c r="F47" s="1" t="s">
        <v>116</v>
      </c>
      <c r="G47" s="1" t="s">
        <v>117</v>
      </c>
      <c r="H47" s="1">
        <v>3.25</v>
      </c>
      <c r="I47" s="1">
        <v>3.3333333332233197</v>
      </c>
      <c r="J47" s="1">
        <v>2.3904055248146796</v>
      </c>
      <c r="K47" s="1">
        <v>1535209.7390566103</v>
      </c>
      <c r="L47" t="s">
        <v>70</v>
      </c>
    </row>
    <row r="48" spans="1:12" x14ac:dyDescent="0.25">
      <c r="A48" s="1" t="s">
        <v>94</v>
      </c>
      <c r="B48" s="1" t="s">
        <v>31</v>
      </c>
      <c r="C48" s="1" t="str">
        <f>VLOOKUP(Table2[[#This Row],[UNSPC category]],data!A:F,6,FALSE)</f>
        <v>Goods</v>
      </c>
      <c r="D48" s="1">
        <v>30160000</v>
      </c>
      <c r="E48" s="1" t="s">
        <v>81</v>
      </c>
      <c r="F48" s="1" t="s">
        <v>127</v>
      </c>
      <c r="G48" s="1" t="s">
        <v>128</v>
      </c>
      <c r="H48" s="1">
        <v>0.75</v>
      </c>
      <c r="I48" s="1">
        <v>2.3333333332599899</v>
      </c>
      <c r="J48" s="1">
        <v>2.4083590686784468</v>
      </c>
      <c r="K48" s="1">
        <v>1466902.2174520742</v>
      </c>
      <c r="L48" t="s">
        <v>70</v>
      </c>
    </row>
    <row r="49" spans="1:12" x14ac:dyDescent="0.25">
      <c r="A49" s="1" t="s">
        <v>85</v>
      </c>
      <c r="B49" s="1" t="s">
        <v>13</v>
      </c>
      <c r="C49" s="1" t="str">
        <f>VLOOKUP(Table2[[#This Row],[UNSPC category]],data!A:F,6,FALSE)</f>
        <v>Goods</v>
      </c>
      <c r="D49" s="1">
        <v>21102500</v>
      </c>
      <c r="E49" s="1" t="s">
        <v>83</v>
      </c>
      <c r="F49" s="1" t="s">
        <v>113</v>
      </c>
      <c r="G49" s="1" t="s">
        <v>114</v>
      </c>
      <c r="H49" s="1">
        <v>3.25</v>
      </c>
      <c r="I49" s="1">
        <v>1.3333333332966599</v>
      </c>
      <c r="J49" s="1">
        <v>2.2885763526130254</v>
      </c>
      <c r="K49" s="1">
        <v>1466508.3807331121</v>
      </c>
      <c r="L49" t="s">
        <v>70</v>
      </c>
    </row>
    <row r="50" spans="1:12" x14ac:dyDescent="0.25">
      <c r="A50" s="1" t="s">
        <v>86</v>
      </c>
      <c r="B50" s="1" t="s">
        <v>30</v>
      </c>
      <c r="C50" s="1" t="str">
        <f>VLOOKUP(Table2[[#This Row],[UNSPC category]],data!A:F,6,FALSE)</f>
        <v>Goods</v>
      </c>
      <c r="D50" s="1">
        <v>56101700</v>
      </c>
      <c r="E50" s="1" t="s">
        <v>83</v>
      </c>
      <c r="F50" s="1" t="s">
        <v>127</v>
      </c>
      <c r="G50" s="1" t="s">
        <v>128</v>
      </c>
      <c r="H50" s="1">
        <v>0.5</v>
      </c>
      <c r="I50" s="1">
        <v>2.3333333332599899</v>
      </c>
      <c r="J50" s="1">
        <v>2.6750018508399922</v>
      </c>
      <c r="K50" s="1">
        <v>1454169.0764696521</v>
      </c>
      <c r="L50" t="s">
        <v>70</v>
      </c>
    </row>
    <row r="51" spans="1:12" x14ac:dyDescent="0.25">
      <c r="A51" s="1" t="s">
        <v>69</v>
      </c>
      <c r="B51" s="1" t="s">
        <v>34</v>
      </c>
      <c r="C51" s="1" t="str">
        <f>VLOOKUP(Table2[[#This Row],[UNSPC category]],data!A:F,6,FALSE)</f>
        <v>Services</v>
      </c>
      <c r="D51" s="1">
        <v>83110000</v>
      </c>
      <c r="E51" s="1" t="s">
        <v>81</v>
      </c>
      <c r="F51" s="1" t="s">
        <v>116</v>
      </c>
      <c r="G51" s="1" t="s">
        <v>117</v>
      </c>
      <c r="H51" s="1">
        <v>3.5</v>
      </c>
      <c r="I51" s="1">
        <v>2.3333333332599899</v>
      </c>
      <c r="J51" s="1">
        <v>2.0485412461226549</v>
      </c>
      <c r="K51" s="1">
        <v>1452696.6242293175</v>
      </c>
      <c r="L51" t="s">
        <v>69</v>
      </c>
    </row>
    <row r="52" spans="1:12" x14ac:dyDescent="0.25">
      <c r="A52" s="1" t="s">
        <v>69</v>
      </c>
      <c r="B52" s="1" t="s">
        <v>59</v>
      </c>
      <c r="C52" s="1" t="str">
        <f>VLOOKUP(Table2[[#This Row],[UNSPC category]],data!A:F,6,FALSE)</f>
        <v>Services</v>
      </c>
      <c r="D52" s="1">
        <v>82110000</v>
      </c>
      <c r="E52" s="1" t="s">
        <v>81</v>
      </c>
      <c r="F52" s="1" t="s">
        <v>116</v>
      </c>
      <c r="G52" s="1" t="s">
        <v>117</v>
      </c>
      <c r="H52" s="1">
        <v>4</v>
      </c>
      <c r="I52" s="1">
        <v>3.3333333332233197</v>
      </c>
      <c r="J52" s="1">
        <v>2.4588841927746916</v>
      </c>
      <c r="K52" s="1">
        <v>1825842.01</v>
      </c>
      <c r="L52" t="s">
        <v>69</v>
      </c>
    </row>
    <row r="53" spans="1:12" x14ac:dyDescent="0.25">
      <c r="A53" s="1" t="s">
        <v>69</v>
      </c>
      <c r="B53" s="1" t="s">
        <v>47</v>
      </c>
      <c r="C53" s="1" t="str">
        <f>VLOOKUP(Table2[[#This Row],[UNSPC category]],data!A:F,6,FALSE)</f>
        <v>Services</v>
      </c>
      <c r="D53" s="1">
        <v>84131500</v>
      </c>
      <c r="E53" s="1" t="s">
        <v>83</v>
      </c>
      <c r="F53" s="1" t="s">
        <v>115</v>
      </c>
      <c r="G53" s="1" t="s">
        <v>1</v>
      </c>
      <c r="H53" s="1">
        <v>2.5</v>
      </c>
      <c r="I53" s="1">
        <v>2.99999999992332</v>
      </c>
      <c r="J53" s="1">
        <v>1.7584334522805447</v>
      </c>
      <c r="K53" s="1">
        <v>1262871.113945642</v>
      </c>
      <c r="L53" t="s">
        <v>69</v>
      </c>
    </row>
    <row r="54" spans="1:12" x14ac:dyDescent="0.25">
      <c r="A54" s="1" t="s">
        <v>82</v>
      </c>
      <c r="B54" s="1" t="s">
        <v>62</v>
      </c>
      <c r="C54" s="1" t="str">
        <f>VLOOKUP(Table2[[#This Row],[UNSPC category]],data!A:F,6,FALSE)</f>
        <v>Goods</v>
      </c>
      <c r="D54" s="1">
        <v>10152000</v>
      </c>
      <c r="E54" s="1" t="s">
        <v>83</v>
      </c>
      <c r="F54" s="1" t="s">
        <v>115</v>
      </c>
      <c r="G54" s="1" t="s">
        <v>1</v>
      </c>
      <c r="H54" s="1">
        <v>3.25</v>
      </c>
      <c r="I54" s="1">
        <v>3.49999999990332</v>
      </c>
      <c r="J54" s="1">
        <v>1.9984682001559455</v>
      </c>
      <c r="K54" s="1">
        <v>1249040.1932963154</v>
      </c>
      <c r="L54" t="s">
        <v>70</v>
      </c>
    </row>
    <row r="55" spans="1:12" x14ac:dyDescent="0.25">
      <c r="A55" s="1" t="s">
        <v>69</v>
      </c>
      <c r="B55" s="1" t="s">
        <v>97</v>
      </c>
      <c r="C55" s="1" t="s">
        <v>69</v>
      </c>
      <c r="D55" s="1">
        <v>70120000</v>
      </c>
      <c r="E55" s="1" t="s">
        <v>81</v>
      </c>
      <c r="F55" s="1" t="s">
        <v>116</v>
      </c>
      <c r="G55" s="1" t="s">
        <v>117</v>
      </c>
      <c r="H55" s="1">
        <v>3.5</v>
      </c>
      <c r="I55" s="1">
        <v>2.3333333332599899</v>
      </c>
      <c r="J55" s="1">
        <v>2.3684912546842534</v>
      </c>
      <c r="K55" s="1">
        <v>1238767.0892440039</v>
      </c>
      <c r="L55" t="s">
        <v>69</v>
      </c>
    </row>
    <row r="56" spans="1:12" x14ac:dyDescent="0.25">
      <c r="A56" s="1" t="s">
        <v>86</v>
      </c>
      <c r="B56" s="1" t="s">
        <v>27</v>
      </c>
      <c r="C56" s="1" t="str">
        <f>VLOOKUP(Table2[[#This Row],[UNSPC category]],data!A:F,6,FALSE)</f>
        <v>Goods</v>
      </c>
      <c r="D56" s="1">
        <v>46180000</v>
      </c>
      <c r="E56" s="1" t="s">
        <v>81</v>
      </c>
      <c r="F56" s="1" t="s">
        <v>122</v>
      </c>
      <c r="G56" s="1" t="s">
        <v>123</v>
      </c>
      <c r="H56" s="1">
        <v>1</v>
      </c>
      <c r="I56" s="1">
        <v>1.99999999996332</v>
      </c>
      <c r="J56" s="1">
        <v>2.6100567693293462</v>
      </c>
      <c r="K56" s="1">
        <v>1146286.6907702549</v>
      </c>
      <c r="L56" t="s">
        <v>70</v>
      </c>
    </row>
    <row r="57" spans="1:12" x14ac:dyDescent="0.25">
      <c r="A57" s="1" t="s">
        <v>85</v>
      </c>
      <c r="B57" s="1" t="s">
        <v>22</v>
      </c>
      <c r="C57" s="1" t="str">
        <f>VLOOKUP(Table2[[#This Row],[UNSPC category]],data!A:F,6,FALSE)</f>
        <v>Goods</v>
      </c>
      <c r="D57" s="1">
        <v>25170000</v>
      </c>
      <c r="E57" s="1" t="s">
        <v>81</v>
      </c>
      <c r="F57" s="1" t="s">
        <v>120</v>
      </c>
      <c r="G57" s="1" t="s">
        <v>121</v>
      </c>
      <c r="H57" s="1">
        <v>1.75</v>
      </c>
      <c r="I57" s="1">
        <v>1.99999999992666</v>
      </c>
      <c r="J57" s="1">
        <v>1.7148029019531235</v>
      </c>
      <c r="K57" s="1">
        <v>1091281.4909598755</v>
      </c>
      <c r="L57" t="s">
        <v>70</v>
      </c>
    </row>
    <row r="58" spans="1:12" x14ac:dyDescent="0.25">
      <c r="A58" s="1" t="s">
        <v>85</v>
      </c>
      <c r="B58" s="1" t="s">
        <v>52</v>
      </c>
      <c r="C58" s="1" t="str">
        <f>VLOOKUP(Table2[[#This Row],[UNSPC category]],data!A:F,6,FALSE)</f>
        <v>Goods</v>
      </c>
      <c r="D58" s="1">
        <v>21101700</v>
      </c>
      <c r="E58" s="1" t="s">
        <v>83</v>
      </c>
      <c r="F58" s="1" t="s">
        <v>115</v>
      </c>
      <c r="G58" s="1" t="s">
        <v>1</v>
      </c>
      <c r="H58" s="1">
        <v>3.25</v>
      </c>
      <c r="I58" s="1">
        <v>3.3333333331866597</v>
      </c>
      <c r="J58" s="1">
        <v>1.7253999954095365</v>
      </c>
      <c r="K58" s="1">
        <v>1054089.2895581885</v>
      </c>
      <c r="L58" t="s">
        <v>70</v>
      </c>
    </row>
    <row r="59" spans="1:12" x14ac:dyDescent="0.25">
      <c r="A59" s="1" t="s">
        <v>82</v>
      </c>
      <c r="B59" s="1" t="s">
        <v>98</v>
      </c>
      <c r="C59" s="1" t="s">
        <v>70</v>
      </c>
      <c r="D59" s="1">
        <v>10130000</v>
      </c>
      <c r="E59" s="1" t="s">
        <v>81</v>
      </c>
      <c r="F59" s="1" t="s">
        <v>116</v>
      </c>
      <c r="G59" s="1" t="s">
        <v>117</v>
      </c>
      <c r="H59" s="1">
        <v>3.5</v>
      </c>
      <c r="I59" s="1">
        <v>2.3333333332599899</v>
      </c>
      <c r="J59" s="1">
        <v>2.445119711233628</v>
      </c>
      <c r="K59" s="1">
        <v>1053661.9635950113</v>
      </c>
      <c r="L59" t="s">
        <v>70</v>
      </c>
    </row>
    <row r="60" spans="1:12" x14ac:dyDescent="0.25">
      <c r="A60" s="1" t="s">
        <v>86</v>
      </c>
      <c r="B60" s="1" t="s">
        <v>99</v>
      </c>
      <c r="C60" s="1" t="s">
        <v>70</v>
      </c>
      <c r="D60" s="1">
        <v>43220000</v>
      </c>
      <c r="E60" s="1" t="s">
        <v>81</v>
      </c>
      <c r="F60" s="1" t="s">
        <v>126</v>
      </c>
      <c r="G60" s="1" t="s">
        <v>126</v>
      </c>
      <c r="H60" s="1" t="s">
        <v>126</v>
      </c>
      <c r="I60" s="1" t="s">
        <v>126</v>
      </c>
      <c r="J60" s="1" t="s">
        <v>126</v>
      </c>
      <c r="K60" s="1">
        <v>1047630.5981844455</v>
      </c>
      <c r="L60" t="s">
        <v>70</v>
      </c>
    </row>
    <row r="61" spans="1:12" x14ac:dyDescent="0.25">
      <c r="A61" s="1" t="s">
        <v>69</v>
      </c>
      <c r="B61" s="1" t="s">
        <v>45</v>
      </c>
      <c r="C61" s="1" t="str">
        <f>VLOOKUP(Table2[[#This Row],[UNSPC category]],data!A:F,6,FALSE)</f>
        <v>Services</v>
      </c>
      <c r="D61" s="1">
        <v>80141607</v>
      </c>
      <c r="E61" s="1" t="s">
        <v>89</v>
      </c>
      <c r="F61" s="1" t="s">
        <v>118</v>
      </c>
      <c r="G61" s="1" t="s">
        <v>119</v>
      </c>
      <c r="H61" s="1">
        <v>1.75</v>
      </c>
      <c r="I61" s="1">
        <v>2.9999999998899902</v>
      </c>
      <c r="J61" s="1">
        <v>1.6834837689028324</v>
      </c>
      <c r="K61" s="1">
        <v>1011686.6062585523</v>
      </c>
      <c r="L61" t="s">
        <v>69</v>
      </c>
    </row>
    <row r="62" spans="1:12" x14ac:dyDescent="0.25">
      <c r="A62" s="1" t="s">
        <v>82</v>
      </c>
      <c r="B62" s="1" t="s">
        <v>60</v>
      </c>
      <c r="C62" s="1" t="str">
        <f>VLOOKUP(Table2[[#This Row],[UNSPC category]],data!A:F,6,FALSE)</f>
        <v>Goods</v>
      </c>
      <c r="D62" s="1">
        <v>10152400</v>
      </c>
      <c r="E62" s="1" t="s">
        <v>83</v>
      </c>
      <c r="F62" s="1" t="s">
        <v>115</v>
      </c>
      <c r="G62" s="1" t="s">
        <v>1</v>
      </c>
      <c r="H62" s="1">
        <v>3.4166666666666665</v>
      </c>
      <c r="I62" s="1">
        <v>3.4444444443333202</v>
      </c>
      <c r="J62" s="1">
        <v>1.7123432746850595</v>
      </c>
      <c r="K62" s="1">
        <v>956137.24039525934</v>
      </c>
      <c r="L62" t="s">
        <v>70</v>
      </c>
    </row>
    <row r="63" spans="1:12" x14ac:dyDescent="0.25">
      <c r="A63" s="1" t="s">
        <v>69</v>
      </c>
      <c r="B63" s="1" t="s">
        <v>33</v>
      </c>
      <c r="C63" s="1" t="str">
        <f>VLOOKUP(Table2[[#This Row],[UNSPC category]],data!A:F,6,FALSE)</f>
        <v>Services</v>
      </c>
      <c r="D63" s="1">
        <v>80110000</v>
      </c>
      <c r="E63" s="1" t="s">
        <v>81</v>
      </c>
      <c r="F63" s="1" t="s">
        <v>116</v>
      </c>
      <c r="G63" s="1" t="s">
        <v>117</v>
      </c>
      <c r="H63" s="1">
        <v>3.5</v>
      </c>
      <c r="I63" s="1">
        <v>2.3333333332599899</v>
      </c>
      <c r="J63" s="1">
        <v>2.1277172503323705</v>
      </c>
      <c r="K63" s="1">
        <v>885096.51817367633</v>
      </c>
      <c r="L63" t="s">
        <v>69</v>
      </c>
    </row>
    <row r="64" spans="1:12" x14ac:dyDescent="0.25">
      <c r="A64" s="1" t="s">
        <v>85</v>
      </c>
      <c r="B64" s="1" t="s">
        <v>44</v>
      </c>
      <c r="C64" s="1" t="str">
        <f>VLOOKUP(Table2[[#This Row],[UNSPC category]],data!A:F,6,FALSE)</f>
        <v>Goods</v>
      </c>
      <c r="D64" s="1">
        <v>23180000</v>
      </c>
      <c r="E64" s="1" t="s">
        <v>81</v>
      </c>
      <c r="F64" s="1" t="s">
        <v>116</v>
      </c>
      <c r="G64" s="1" t="s">
        <v>117</v>
      </c>
      <c r="H64" s="1">
        <v>3.5</v>
      </c>
      <c r="I64" s="1">
        <v>2.6666666665933199</v>
      </c>
      <c r="J64" s="1">
        <v>2.3194631165943584</v>
      </c>
      <c r="K64" s="1">
        <v>836708.29397580039</v>
      </c>
      <c r="L64" t="s">
        <v>70</v>
      </c>
    </row>
    <row r="65" spans="1:12" x14ac:dyDescent="0.25">
      <c r="A65" s="1" t="s">
        <v>85</v>
      </c>
      <c r="B65" s="1" t="s">
        <v>67</v>
      </c>
      <c r="C65" s="1" t="str">
        <f>VLOOKUP(Table2[[#This Row],[UNSPC category]],data!A:F,6,FALSE)</f>
        <v>Goods</v>
      </c>
      <c r="D65" s="1">
        <v>21102300</v>
      </c>
      <c r="E65" s="1" t="s">
        <v>83</v>
      </c>
      <c r="F65" s="1" t="s">
        <v>116</v>
      </c>
      <c r="G65" s="1" t="s">
        <v>117</v>
      </c>
      <c r="H65" s="1">
        <v>3.75</v>
      </c>
      <c r="I65" s="1">
        <v>3.6666666665533194</v>
      </c>
      <c r="J65" s="1">
        <v>2.483072266394637</v>
      </c>
      <c r="K65" s="1">
        <v>835731.64111521747</v>
      </c>
      <c r="L65" t="s">
        <v>70</v>
      </c>
    </row>
    <row r="66" spans="1:12" x14ac:dyDescent="0.25">
      <c r="A66" s="1" t="s">
        <v>86</v>
      </c>
      <c r="B66" s="1" t="s">
        <v>100</v>
      </c>
      <c r="C66" s="1" t="s">
        <v>70</v>
      </c>
      <c r="D66" s="1">
        <v>50501900</v>
      </c>
      <c r="E66" s="1" t="s">
        <v>83</v>
      </c>
      <c r="F66" s="1" t="s">
        <v>116</v>
      </c>
      <c r="G66" s="1" t="s">
        <v>117</v>
      </c>
      <c r="H66" s="1">
        <v>4</v>
      </c>
      <c r="I66" s="1">
        <v>3.6666666665533194</v>
      </c>
      <c r="J66" s="1">
        <v>2.387682205713912</v>
      </c>
      <c r="K66" s="1">
        <v>790048.3725707659</v>
      </c>
      <c r="L66" t="s">
        <v>70</v>
      </c>
    </row>
    <row r="67" spans="1:12" x14ac:dyDescent="0.25">
      <c r="A67" s="1" t="s">
        <v>82</v>
      </c>
      <c r="B67" s="1" t="s">
        <v>64</v>
      </c>
      <c r="C67" s="1" t="str">
        <f>VLOOKUP(Table2[[#This Row],[UNSPC category]],data!A:F,6,FALSE)</f>
        <v>Goods</v>
      </c>
      <c r="D67" s="1">
        <v>10151700</v>
      </c>
      <c r="E67" s="1" t="s">
        <v>83</v>
      </c>
      <c r="F67" s="1" t="s">
        <v>115</v>
      </c>
      <c r="G67" s="1" t="s">
        <v>1</v>
      </c>
      <c r="H67" s="1">
        <v>3.5</v>
      </c>
      <c r="I67" s="1">
        <v>3.6666666665533194</v>
      </c>
      <c r="J67" s="1">
        <v>1.8531516259483527</v>
      </c>
      <c r="K67" s="1">
        <v>763614.93622935633</v>
      </c>
      <c r="L67" t="s">
        <v>70</v>
      </c>
    </row>
    <row r="68" spans="1:12" x14ac:dyDescent="0.25">
      <c r="A68" s="1" t="s">
        <v>94</v>
      </c>
      <c r="B68" s="1" t="s">
        <v>56</v>
      </c>
      <c r="C68" s="1" t="str">
        <f>VLOOKUP(Table2[[#This Row],[UNSPC category]],data!A:F,6,FALSE)</f>
        <v>Goods</v>
      </c>
      <c r="D68" s="1">
        <v>41120000</v>
      </c>
      <c r="E68" s="1" t="s">
        <v>81</v>
      </c>
      <c r="F68" s="1" t="s">
        <v>116</v>
      </c>
      <c r="G68" s="1" t="s">
        <v>117</v>
      </c>
      <c r="H68" s="1">
        <v>3.25</v>
      </c>
      <c r="I68" s="1">
        <v>3.3333333332233197</v>
      </c>
      <c r="J68" s="1">
        <v>2.3345565737960019</v>
      </c>
      <c r="K68" s="1">
        <v>755639.40929415636</v>
      </c>
      <c r="L68" t="s">
        <v>70</v>
      </c>
    </row>
    <row r="69" spans="1:12" x14ac:dyDescent="0.25">
      <c r="A69" s="1" t="s">
        <v>69</v>
      </c>
      <c r="B69" s="1" t="s">
        <v>39</v>
      </c>
      <c r="C69" s="1" t="str">
        <f>VLOOKUP(Table2[[#This Row],[UNSPC category]],data!A:F,6,FALSE)</f>
        <v>Services</v>
      </c>
      <c r="D69" s="1">
        <v>81130000</v>
      </c>
      <c r="E69" s="1" t="s">
        <v>81</v>
      </c>
      <c r="F69" s="1" t="s">
        <v>116</v>
      </c>
      <c r="G69" s="1" t="s">
        <v>117</v>
      </c>
      <c r="H69" s="1">
        <v>4</v>
      </c>
      <c r="I69" s="1">
        <v>2.6666666665599896</v>
      </c>
      <c r="J69" s="1">
        <v>2.7607990956980109</v>
      </c>
      <c r="K69" s="1">
        <v>706033.53111596289</v>
      </c>
      <c r="L69" t="s">
        <v>69</v>
      </c>
    </row>
    <row r="70" spans="1:12" x14ac:dyDescent="0.25">
      <c r="A70" s="1" t="s">
        <v>86</v>
      </c>
      <c r="B70" s="1" t="s">
        <v>101</v>
      </c>
      <c r="C70" s="1" t="s">
        <v>69</v>
      </c>
      <c r="D70" s="1">
        <v>43190000</v>
      </c>
      <c r="E70" s="1" t="s">
        <v>81</v>
      </c>
      <c r="F70" s="1" t="s">
        <v>116</v>
      </c>
      <c r="G70" s="1" t="s">
        <v>117</v>
      </c>
      <c r="H70" s="1">
        <v>2.75</v>
      </c>
      <c r="I70" s="1">
        <v>2.3333333332599899</v>
      </c>
      <c r="J70" s="1">
        <v>2.0026893531900702</v>
      </c>
      <c r="K70" s="1">
        <v>637578.12319433712</v>
      </c>
      <c r="L70" t="s">
        <v>69</v>
      </c>
    </row>
    <row r="71" spans="1:12" x14ac:dyDescent="0.25">
      <c r="A71" s="1" t="s">
        <v>85</v>
      </c>
      <c r="B71" s="1" t="s">
        <v>102</v>
      </c>
      <c r="C71" s="1" t="s">
        <v>70</v>
      </c>
      <c r="D71" s="1">
        <v>24130000</v>
      </c>
      <c r="E71" s="1" t="s">
        <v>81</v>
      </c>
      <c r="F71" s="1" t="s">
        <v>126</v>
      </c>
      <c r="G71" s="1" t="s">
        <v>126</v>
      </c>
      <c r="H71" s="1" t="s">
        <v>126</v>
      </c>
      <c r="I71" s="1" t="s">
        <v>126</v>
      </c>
      <c r="J71" s="1" t="s">
        <v>126</v>
      </c>
      <c r="K71" s="1">
        <v>625250.31799195264</v>
      </c>
      <c r="L71" t="s">
        <v>70</v>
      </c>
    </row>
    <row r="72" spans="1:12" x14ac:dyDescent="0.25">
      <c r="A72" s="1" t="s">
        <v>94</v>
      </c>
      <c r="B72" s="1" t="s">
        <v>103</v>
      </c>
      <c r="C72" s="1" t="s">
        <v>70</v>
      </c>
      <c r="D72" s="1">
        <v>39120000</v>
      </c>
      <c r="E72" s="1" t="s">
        <v>81</v>
      </c>
      <c r="F72" s="1" t="e">
        <v>#N/A</v>
      </c>
      <c r="G72" s="1" t="e">
        <v>#N/A</v>
      </c>
      <c r="H72" s="1" t="s">
        <v>126</v>
      </c>
      <c r="I72" s="1" t="e">
        <v>#N/A</v>
      </c>
      <c r="J72" s="1" t="s">
        <v>126</v>
      </c>
      <c r="K72" s="1">
        <v>520731.62131316605</v>
      </c>
      <c r="L72" t="s">
        <v>70</v>
      </c>
    </row>
    <row r="73" spans="1:12" x14ac:dyDescent="0.25">
      <c r="A73" s="1" t="s">
        <v>85</v>
      </c>
      <c r="B73" s="1" t="s">
        <v>104</v>
      </c>
      <c r="C73" s="1" t="s">
        <v>70</v>
      </c>
      <c r="D73" s="1">
        <v>21102200</v>
      </c>
      <c r="E73" s="1" t="s">
        <v>83</v>
      </c>
      <c r="F73" s="1" t="s">
        <v>118</v>
      </c>
      <c r="G73" s="1" t="s">
        <v>119</v>
      </c>
      <c r="H73" s="1">
        <v>2</v>
      </c>
      <c r="I73" s="1">
        <v>2.6666666665933199</v>
      </c>
      <c r="J73" s="1">
        <v>1.742353202489074</v>
      </c>
      <c r="K73" s="1">
        <v>428967.45560983272</v>
      </c>
      <c r="L73" t="s">
        <v>70</v>
      </c>
    </row>
    <row r="74" spans="1:12" x14ac:dyDescent="0.25">
      <c r="A74" s="1" t="s">
        <v>82</v>
      </c>
      <c r="B74" s="1" t="s">
        <v>61</v>
      </c>
      <c r="C74" s="1" t="str">
        <f>VLOOKUP(Table2[[#This Row],[UNSPC category]],data!A:F,6,FALSE)</f>
        <v>Goods</v>
      </c>
      <c r="D74" s="1">
        <v>10160000</v>
      </c>
      <c r="E74" s="1" t="s">
        <v>81</v>
      </c>
      <c r="F74" s="1" t="s">
        <v>116</v>
      </c>
      <c r="G74" s="1" t="s">
        <v>117</v>
      </c>
      <c r="H74" s="1">
        <v>2.25</v>
      </c>
      <c r="I74" s="1">
        <v>3.4999999998716547</v>
      </c>
      <c r="J74" s="1">
        <v>2.0727662156159985</v>
      </c>
      <c r="K74" s="1">
        <v>417920.75734323054</v>
      </c>
      <c r="L74" t="s">
        <v>70</v>
      </c>
    </row>
    <row r="75" spans="1:12" x14ac:dyDescent="0.25">
      <c r="A75" s="1" t="s">
        <v>69</v>
      </c>
      <c r="B75" s="1" t="s">
        <v>105</v>
      </c>
      <c r="C75" s="1" t="s">
        <v>69</v>
      </c>
      <c r="D75" s="1">
        <v>70151500</v>
      </c>
      <c r="E75" s="1" t="s">
        <v>83</v>
      </c>
      <c r="F75" s="1" t="s">
        <v>116</v>
      </c>
      <c r="G75" s="1" t="s">
        <v>117</v>
      </c>
      <c r="H75" s="1">
        <v>3</v>
      </c>
      <c r="I75" s="1">
        <v>2.3333333332633197</v>
      </c>
      <c r="J75" s="1">
        <v>2.3069405676038315</v>
      </c>
      <c r="K75" s="1">
        <v>413573.76317165489</v>
      </c>
      <c r="L75" t="s">
        <v>69</v>
      </c>
    </row>
    <row r="76" spans="1:12" x14ac:dyDescent="0.25">
      <c r="A76" s="1" t="s">
        <v>86</v>
      </c>
      <c r="B76" s="1" t="s">
        <v>11</v>
      </c>
      <c r="C76" s="1" t="str">
        <f>VLOOKUP(Table2[[#This Row],[UNSPC category]],data!A:F,6,FALSE)</f>
        <v>Goods</v>
      </c>
      <c r="D76" s="1">
        <v>49120000</v>
      </c>
      <c r="E76" s="1" t="s">
        <v>81</v>
      </c>
      <c r="F76" s="1" t="s">
        <v>124</v>
      </c>
      <c r="G76" s="1" t="s">
        <v>125</v>
      </c>
      <c r="H76" s="1">
        <v>2.5</v>
      </c>
      <c r="I76" s="1">
        <v>1.3333333332966599</v>
      </c>
      <c r="J76" s="1">
        <v>1.5016143640831028</v>
      </c>
      <c r="K76" s="1">
        <v>413182.45255378622</v>
      </c>
      <c r="L76" t="s">
        <v>70</v>
      </c>
    </row>
    <row r="77" spans="1:12" x14ac:dyDescent="0.25">
      <c r="A77" s="1" t="s">
        <v>69</v>
      </c>
      <c r="B77" s="1" t="s">
        <v>106</v>
      </c>
      <c r="C77" s="1" t="s">
        <v>69</v>
      </c>
      <c r="D77" s="1">
        <v>81151600</v>
      </c>
      <c r="E77" s="1" t="s">
        <v>83</v>
      </c>
      <c r="F77" s="1" t="s">
        <v>124</v>
      </c>
      <c r="G77" s="1" t="s">
        <v>125</v>
      </c>
      <c r="H77" s="1">
        <v>2.75</v>
      </c>
      <c r="I77" s="1">
        <v>1.6666666665966599</v>
      </c>
      <c r="J77" s="1">
        <v>1.9362602246477894</v>
      </c>
      <c r="K77" s="1">
        <v>392625.31783521437</v>
      </c>
      <c r="L77" t="s">
        <v>69</v>
      </c>
    </row>
    <row r="78" spans="1:12" x14ac:dyDescent="0.25">
      <c r="A78" s="1" t="s">
        <v>82</v>
      </c>
      <c r="B78" s="1" t="s">
        <v>28</v>
      </c>
      <c r="C78" s="1" t="str">
        <f>VLOOKUP(Table2[[#This Row],[UNSPC category]],data!A:F,6,FALSE)</f>
        <v>Goods</v>
      </c>
      <c r="D78" s="1">
        <v>10191700</v>
      </c>
      <c r="E78" s="1" t="s">
        <v>83</v>
      </c>
      <c r="F78" s="1" t="s">
        <v>115</v>
      </c>
      <c r="G78" s="1" t="s">
        <v>1</v>
      </c>
      <c r="H78" s="1">
        <v>3.25</v>
      </c>
      <c r="I78" s="1">
        <v>2.3333333332266597</v>
      </c>
      <c r="J78" s="1">
        <v>1.5460099032112558</v>
      </c>
      <c r="K78" s="1">
        <v>329923.90008810873</v>
      </c>
      <c r="L78" t="s">
        <v>70</v>
      </c>
    </row>
    <row r="79" spans="1:12" x14ac:dyDescent="0.25">
      <c r="A79" s="1" t="s">
        <v>86</v>
      </c>
      <c r="B79" s="1" t="s">
        <v>107</v>
      </c>
      <c r="C79" s="1" t="s">
        <v>70</v>
      </c>
      <c r="D79" s="1">
        <v>46170000</v>
      </c>
      <c r="E79" s="1" t="s">
        <v>81</v>
      </c>
      <c r="F79" s="1" t="s">
        <v>126</v>
      </c>
      <c r="G79" s="1" t="s">
        <v>126</v>
      </c>
      <c r="H79" s="1" t="s">
        <v>126</v>
      </c>
      <c r="I79" s="1" t="s">
        <v>126</v>
      </c>
      <c r="J79" s="1" t="s">
        <v>126</v>
      </c>
      <c r="K79" s="1">
        <v>280517.70363099629</v>
      </c>
      <c r="L79" t="s">
        <v>70</v>
      </c>
    </row>
    <row r="80" spans="1:12" x14ac:dyDescent="0.25">
      <c r="A80" s="1" t="s">
        <v>85</v>
      </c>
      <c r="B80" s="1" t="s">
        <v>9</v>
      </c>
      <c r="C80" s="1" t="str">
        <f>VLOOKUP(Table2[[#This Row],[UNSPC category]],data!A:F,6,FALSE)</f>
        <v>Goods</v>
      </c>
      <c r="D80" s="1">
        <v>25160000</v>
      </c>
      <c r="E80" s="1" t="s">
        <v>81</v>
      </c>
      <c r="F80" s="1" t="s">
        <v>124</v>
      </c>
      <c r="G80" s="1" t="s">
        <v>125</v>
      </c>
      <c r="H80" s="1">
        <v>2.25</v>
      </c>
      <c r="I80" s="1">
        <v>0.99999999996666</v>
      </c>
      <c r="J80" s="1">
        <v>1.1970647367922544</v>
      </c>
      <c r="K80" s="1">
        <v>260885.07346091041</v>
      </c>
      <c r="L80" t="s">
        <v>70</v>
      </c>
    </row>
    <row r="81" spans="1:12" x14ac:dyDescent="0.25">
      <c r="A81" s="1" t="s">
        <v>82</v>
      </c>
      <c r="B81" s="1" t="s">
        <v>108</v>
      </c>
      <c r="C81" s="1" t="s">
        <v>70</v>
      </c>
      <c r="D81" s="1">
        <v>10101700</v>
      </c>
      <c r="E81" s="1" t="s">
        <v>83</v>
      </c>
      <c r="F81" s="1" t="s">
        <v>116</v>
      </c>
      <c r="G81" s="1" t="s">
        <v>117</v>
      </c>
      <c r="H81" s="1">
        <v>3.5</v>
      </c>
      <c r="I81" s="1">
        <v>3.3333333332233197</v>
      </c>
      <c r="J81" s="1">
        <v>2.4317792261680902</v>
      </c>
      <c r="K81" s="1">
        <v>253316.02452037446</v>
      </c>
      <c r="L81" t="s">
        <v>70</v>
      </c>
    </row>
    <row r="82" spans="1:12" x14ac:dyDescent="0.25">
      <c r="A82" s="1" t="s">
        <v>82</v>
      </c>
      <c r="B82" s="1" t="s">
        <v>109</v>
      </c>
      <c r="C82" s="1" t="s">
        <v>70</v>
      </c>
      <c r="D82" s="1">
        <v>12000000</v>
      </c>
      <c r="E82" s="1" t="s">
        <v>84</v>
      </c>
      <c r="F82" s="1" t="s">
        <v>126</v>
      </c>
      <c r="G82" s="1" t="s">
        <v>126</v>
      </c>
      <c r="H82" s="1" t="s">
        <v>126</v>
      </c>
      <c r="I82" s="1" t="s">
        <v>126</v>
      </c>
      <c r="J82" s="1" t="s">
        <v>126</v>
      </c>
      <c r="K82" s="1">
        <v>148188.14948568295</v>
      </c>
      <c r="L82" t="s">
        <v>70</v>
      </c>
    </row>
    <row r="83" spans="1:12" x14ac:dyDescent="0.25">
      <c r="A83" s="1" t="s">
        <v>82</v>
      </c>
      <c r="B83" s="1" t="s">
        <v>110</v>
      </c>
      <c r="C83" s="1" t="s">
        <v>70</v>
      </c>
      <c r="D83" s="1">
        <v>11130000</v>
      </c>
      <c r="E83" s="1" t="s">
        <v>81</v>
      </c>
      <c r="F83" s="1" t="s">
        <v>126</v>
      </c>
      <c r="G83" s="1" t="s">
        <v>126</v>
      </c>
      <c r="H83" s="1" t="s">
        <v>126</v>
      </c>
      <c r="I83" s="1" t="s">
        <v>126</v>
      </c>
      <c r="J83" s="1" t="s">
        <v>126</v>
      </c>
      <c r="K83" s="1">
        <v>120425.06099863676</v>
      </c>
      <c r="L83" t="s">
        <v>70</v>
      </c>
    </row>
    <row r="84" spans="1:12" x14ac:dyDescent="0.25">
      <c r="A84" s="1" t="s">
        <v>82</v>
      </c>
      <c r="B84" s="1" t="s">
        <v>111</v>
      </c>
      <c r="C84" s="1" t="s">
        <v>70</v>
      </c>
      <c r="D84" s="1">
        <v>10101900</v>
      </c>
      <c r="E84" s="1" t="s">
        <v>83</v>
      </c>
      <c r="F84" s="1" t="s">
        <v>116</v>
      </c>
      <c r="G84" s="1" t="s">
        <v>117</v>
      </c>
      <c r="H84" s="1">
        <v>3.25</v>
      </c>
      <c r="I84" s="1">
        <v>2.3333333332599899</v>
      </c>
      <c r="J84" s="1">
        <v>2.4795147376979223</v>
      </c>
      <c r="K84" s="1">
        <v>109204.96218379799</v>
      </c>
      <c r="L84" t="s">
        <v>70</v>
      </c>
    </row>
    <row r="85" spans="1:12" x14ac:dyDescent="0.25">
      <c r="A85" s="1" t="s">
        <v>82</v>
      </c>
      <c r="B85" s="1" t="s">
        <v>48</v>
      </c>
      <c r="C85" s="1" t="str">
        <f>VLOOKUP(Table2[[#This Row],[UNSPC category]],data!A:F,6,FALSE)</f>
        <v>Goods</v>
      </c>
      <c r="D85" s="1">
        <v>10151800</v>
      </c>
      <c r="E85" s="1" t="s">
        <v>83</v>
      </c>
      <c r="F85" s="1" t="s">
        <v>116</v>
      </c>
      <c r="G85" s="1" t="s">
        <v>117</v>
      </c>
      <c r="H85" s="1">
        <v>3.1666666666666665</v>
      </c>
      <c r="I85" s="1">
        <v>3.1111111110111</v>
      </c>
      <c r="J85" s="1">
        <v>2.2277931220581286</v>
      </c>
      <c r="K85" s="1">
        <v>100167.52164521268</v>
      </c>
      <c r="L85" t="s">
        <v>70</v>
      </c>
    </row>
    <row r="86" spans="1:12" x14ac:dyDescent="0.25">
      <c r="A86" s="1" t="s">
        <v>82</v>
      </c>
      <c r="B86" s="1" t="s">
        <v>112</v>
      </c>
      <c r="C86" s="1" t="s">
        <v>70</v>
      </c>
      <c r="D86" s="1">
        <v>11120000</v>
      </c>
      <c r="E86" s="1" t="s">
        <v>81</v>
      </c>
      <c r="F86" s="1" t="s">
        <v>113</v>
      </c>
      <c r="G86" s="1" t="s">
        <v>114</v>
      </c>
      <c r="H86" s="1">
        <v>3.25</v>
      </c>
      <c r="I86" s="1">
        <v>1.6666666666299901</v>
      </c>
      <c r="J86" s="1">
        <v>2.6687164296082613</v>
      </c>
      <c r="K86" s="1">
        <v>57376.425615119239</v>
      </c>
      <c r="L86" t="s">
        <v>70</v>
      </c>
    </row>
    <row r="87" spans="1:12" x14ac:dyDescent="0.25">
      <c r="A87" s="1" t="s">
        <v>86</v>
      </c>
      <c r="B87" s="1" t="s">
        <v>42</v>
      </c>
      <c r="C87" s="1" t="str">
        <f>VLOOKUP(Table2[[#This Row],[UNSPC category]],data!A:F,6,FALSE)</f>
        <v>Goods</v>
      </c>
      <c r="D87" s="1">
        <v>56122000</v>
      </c>
      <c r="E87" s="1" t="s">
        <v>83</v>
      </c>
      <c r="F87" s="1" t="s">
        <v>116</v>
      </c>
      <c r="G87" s="1" t="s">
        <v>117</v>
      </c>
      <c r="H87" s="1">
        <v>3.25</v>
      </c>
      <c r="I87" s="1">
        <v>2.6666666665933199</v>
      </c>
      <c r="J87" s="1">
        <v>2.3179006241423652</v>
      </c>
      <c r="K87" s="1">
        <v>56915.596872324786</v>
      </c>
      <c r="L87" t="s">
        <v>70</v>
      </c>
    </row>
    <row r="88" spans="1:12" x14ac:dyDescent="0.25">
      <c r="A88" s="1" t="s">
        <v>82</v>
      </c>
      <c r="B88" s="1" t="s">
        <v>51</v>
      </c>
      <c r="C88" s="1" t="str">
        <f>VLOOKUP(Table2[[#This Row],[UNSPC category]],data!A:F,6,FALSE)</f>
        <v>Goods</v>
      </c>
      <c r="D88" s="1">
        <v>10152200</v>
      </c>
      <c r="E88" s="1" t="s">
        <v>83</v>
      </c>
      <c r="F88" s="1" t="s">
        <v>116</v>
      </c>
      <c r="G88" s="1" t="s">
        <v>117</v>
      </c>
      <c r="H88" s="1">
        <v>2.625</v>
      </c>
      <c r="I88" s="1">
        <v>3.166666666571655</v>
      </c>
      <c r="J88" s="1">
        <v>2.3922065686298071</v>
      </c>
      <c r="K88" s="1">
        <v>26530.135660844273</v>
      </c>
      <c r="L88" t="s">
        <v>70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Sheet1</vt:lpstr>
    </vt:vector>
  </TitlesOfParts>
  <Company>FAO of the UN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Gambineri, Massimo (CSLP)</dc:creator>
  <cp:lastModifiedBy>Gambineri, Massimo (CSLP)</cp:lastModifiedBy>
  <dcterms:created xsi:type="dcterms:W3CDTF">2026-04-08T07:32:37Z</dcterms:created>
  <dcterms:modified xsi:type="dcterms:W3CDTF">2026-06-17T10:02:55Z</dcterms:modified>
</cp:coreProperties>
</file>